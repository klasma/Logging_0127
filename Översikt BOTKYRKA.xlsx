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46173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46173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46173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46173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46173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60416-2025</t>
        </is>
      </c>
      <c r="B7" s="1" t="n">
        <v>45995.45151620371</v>
      </c>
      <c r="C7" s="1" t="n">
        <v>46173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1.9</v>
      </c>
      <c r="H7" t="n">
        <v>4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Entita
Grön aspvedbock
Spillkråka
Tallticka
Talltita
Gröngöling</t>
        </is>
      </c>
      <c r="S7">
        <f>HYPERLINK("https://klasma.github.io/Logging_0127/artfynd/A 60416-2025 artfynd.xlsx", "A 60416-2025")</f>
        <v/>
      </c>
      <c r="T7">
        <f>HYPERLINK("https://klasma.github.io/Logging_0127/kartor/A 60416-2025 karta.png", "A 60416-2025")</f>
        <v/>
      </c>
      <c r="V7">
        <f>HYPERLINK("https://klasma.github.io/Logging_0127/klagomål/A 60416-2025 FSC-klagomål.docx", "A 60416-2025")</f>
        <v/>
      </c>
      <c r="W7">
        <f>HYPERLINK("https://klasma.github.io/Logging_0127/klagomålsmail/A 60416-2025 FSC-klagomål mail.docx", "A 60416-2025")</f>
        <v/>
      </c>
      <c r="X7">
        <f>HYPERLINK("https://klasma.github.io/Logging_0127/tillsyn/A 60416-2025 tillsynsbegäran.docx", "A 60416-2025")</f>
        <v/>
      </c>
      <c r="Y7">
        <f>HYPERLINK("https://klasma.github.io/Logging_0127/tillsynsmail/A 60416-2025 tillsynsbegäran mail.docx", "A 60416-2025")</f>
        <v/>
      </c>
      <c r="Z7">
        <f>HYPERLINK("https://klasma.github.io/Logging_0127/fåglar/A 60416-2025 prioriterade fågelarter.docx", "A 60416-2025")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46173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46173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46173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46173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46173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Åkergroda
Mindre vattensalamander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46173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46173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30055-2025</t>
        </is>
      </c>
      <c r="B15" s="1" t="n">
        <v>45826</v>
      </c>
      <c r="C15" s="1" t="n">
        <v>46173</v>
      </c>
      <c r="D15" t="inlineStr">
        <is>
          <t>STOCKHOLMS LÄN</t>
        </is>
      </c>
      <c r="E15" t="inlineStr">
        <is>
          <t>BOTKYRKA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Klasefibbla
Blåsippa</t>
        </is>
      </c>
      <c r="S15">
        <f>HYPERLINK("https://klasma.github.io/Logging_0127/artfynd/A 30055-2025 artfynd.xlsx", "A 30055-2025")</f>
        <v/>
      </c>
      <c r="T15">
        <f>HYPERLINK("https://klasma.github.io/Logging_0127/kartor/A 30055-2025 karta.png", "A 30055-2025")</f>
        <v/>
      </c>
      <c r="V15">
        <f>HYPERLINK("https://klasma.github.io/Logging_0127/klagomål/A 30055-2025 FSC-klagomål.docx", "A 30055-2025")</f>
        <v/>
      </c>
      <c r="W15">
        <f>HYPERLINK("https://klasma.github.io/Logging_0127/klagomålsmail/A 30055-2025 FSC-klagomål mail.docx", "A 30055-2025")</f>
        <v/>
      </c>
      <c r="X15">
        <f>HYPERLINK("https://klasma.github.io/Logging_0127/tillsyn/A 30055-2025 tillsynsbegäran.docx", "A 30055-2025")</f>
        <v/>
      </c>
      <c r="Y15">
        <f>HYPERLINK("https://klasma.github.io/Logging_0127/tillsynsmail/A 30055-2025 tillsynsbegäran mail.docx", "A 30055-2025")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46173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46173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46173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46173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46173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46173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33801-2025</t>
        </is>
      </c>
      <c r="B22" s="1" t="n">
        <v>45842</v>
      </c>
      <c r="C22" s="1" t="n">
        <v>46173</v>
      </c>
      <c r="D22" t="inlineStr">
        <is>
          <t>STOCKHOLMS LÄN</t>
        </is>
      </c>
      <c r="E22" t="inlineStr">
        <is>
          <t>BOTKYRKA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HYPERLINK("https://klasma.github.io/Logging_0127/artfynd/A 33801-2025 artfynd.xlsx", "A 33801-2025")</f>
        <v/>
      </c>
      <c r="T22">
        <f>HYPERLINK("https://klasma.github.io/Logging_0127/kartor/A 33801-2025 karta.png", "A 33801-2025")</f>
        <v/>
      </c>
      <c r="V22">
        <f>HYPERLINK("https://klasma.github.io/Logging_0127/klagomål/A 33801-2025 FSC-klagomål.docx", "A 33801-2025")</f>
        <v/>
      </c>
      <c r="W22">
        <f>HYPERLINK("https://klasma.github.io/Logging_0127/klagomålsmail/A 33801-2025 FSC-klagomål mail.docx", "A 33801-2025")</f>
        <v/>
      </c>
      <c r="X22">
        <f>HYPERLINK("https://klasma.github.io/Logging_0127/tillsyn/A 33801-2025 tillsynsbegäran.docx", "A 33801-2025")</f>
        <v/>
      </c>
      <c r="Y22">
        <f>HYPERLINK("https://klasma.github.io/Logging_0127/tillsynsmail/A 33801-2025 tillsynsbegäran mail.docx", "A 33801-2025")</f>
        <v/>
      </c>
    </row>
    <row r="23" ht="15" customHeight="1">
      <c r="A23" t="inlineStr">
        <is>
          <t>A 12305-2026</t>
        </is>
      </c>
      <c r="B23" s="1" t="n">
        <v>46087.57827546296</v>
      </c>
      <c r="C23" s="1" t="n">
        <v>46173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HYPERLINK("https://klasma.github.io/Logging_0127/artfynd/A 12305-2026 artfynd.xlsx", "A 12305-2026")</f>
        <v/>
      </c>
      <c r="T23">
        <f>HYPERLINK("https://klasma.github.io/Logging_0127/kartor/A 12305-2026 karta.png", "A 12305-2026")</f>
        <v/>
      </c>
      <c r="V23">
        <f>HYPERLINK("https://klasma.github.io/Logging_0127/klagomål/A 12305-2026 FSC-klagomål.docx", "A 12305-2026")</f>
        <v/>
      </c>
      <c r="W23">
        <f>HYPERLINK("https://klasma.github.io/Logging_0127/klagomålsmail/A 12305-2026 FSC-klagomål mail.docx", "A 12305-2026")</f>
        <v/>
      </c>
      <c r="X23">
        <f>HYPERLINK("https://klasma.github.io/Logging_0127/tillsyn/A 12305-2026 tillsynsbegäran.docx", "A 12305-2026")</f>
        <v/>
      </c>
      <c r="Y23">
        <f>HYPERLINK("https://klasma.github.io/Logging_0127/tillsynsmail/A 12305-2026 tillsynsbegäran mail.docx", "A 12305-2026")</f>
        <v/>
      </c>
      <c r="Z23">
        <f>HYPERLINK("https://klasma.github.io/Logging_0127/fåglar/A 12305-2026 prioriterade fågelarter.docx", "A 12305-2026")</f>
        <v/>
      </c>
    </row>
    <row r="24" ht="15" customHeight="1">
      <c r="A24" t="inlineStr">
        <is>
          <t>A 12590-2026</t>
        </is>
      </c>
      <c r="B24" s="1" t="n">
        <v>46090.73949074074</v>
      </c>
      <c r="C24" s="1" t="n">
        <v>46173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HYPERLINK("https://klasma.github.io/Logging_0127/artfynd/A 12590-2026 artfynd.xlsx", "A 12590-2026")</f>
        <v/>
      </c>
      <c r="T24">
        <f>HYPERLINK("https://klasma.github.io/Logging_0127/kartor/A 12590-2026 karta.png", "A 12590-2026")</f>
        <v/>
      </c>
      <c r="V24">
        <f>HYPERLINK("https://klasma.github.io/Logging_0127/klagomål/A 12590-2026 FSC-klagomål.docx", "A 12590-2026")</f>
        <v/>
      </c>
      <c r="W24">
        <f>HYPERLINK("https://klasma.github.io/Logging_0127/klagomålsmail/A 12590-2026 FSC-klagomål mail.docx", "A 12590-2026")</f>
        <v/>
      </c>
      <c r="X24">
        <f>HYPERLINK("https://klasma.github.io/Logging_0127/tillsyn/A 12590-2026 tillsynsbegäran.docx", "A 12590-2026")</f>
        <v/>
      </c>
      <c r="Y24">
        <f>HYPERLINK("https://klasma.github.io/Logging_0127/tillsynsmail/A 12590-2026 tillsynsbegäran mail.docx", "A 12590-2026")</f>
        <v/>
      </c>
      <c r="Z24">
        <f>HYPERLINK("https://klasma.github.io/Logging_0127/fåglar/A 12590-2026 prioriterade fågelarter.docx", "A 12590-2026")</f>
        <v/>
      </c>
    </row>
    <row r="25" ht="15" customHeight="1">
      <c r="A25" t="inlineStr">
        <is>
          <t>A 12842-2026</t>
        </is>
      </c>
      <c r="B25" s="1" t="n">
        <v>46092.44197916667</v>
      </c>
      <c r="C25" s="1" t="n">
        <v>46173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HYPERLINK("https://klasma.github.io/Logging_0127/artfynd/A 12842-2026 artfynd.xlsx", "A 12842-2026")</f>
        <v/>
      </c>
      <c r="T25">
        <f>HYPERLINK("https://klasma.github.io/Logging_0127/kartor/A 12842-2026 karta.png", "A 12842-2026")</f>
        <v/>
      </c>
      <c r="V25">
        <f>HYPERLINK("https://klasma.github.io/Logging_0127/klagomål/A 12842-2026 FSC-klagomål.docx", "A 12842-2026")</f>
        <v/>
      </c>
      <c r="W25">
        <f>HYPERLINK("https://klasma.github.io/Logging_0127/klagomålsmail/A 12842-2026 FSC-klagomål mail.docx", "A 12842-2026")</f>
        <v/>
      </c>
      <c r="X25">
        <f>HYPERLINK("https://klasma.github.io/Logging_0127/tillsyn/A 12842-2026 tillsynsbegäran.docx", "A 12842-2026")</f>
        <v/>
      </c>
      <c r="Y25">
        <f>HYPERLINK("https://klasma.github.io/Logging_0127/tillsynsmail/A 12842-2026 tillsynsbegäran mail.docx", "A 12842-2026")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46173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46173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46173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46173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46173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46173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46173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32828-2022</t>
        </is>
      </c>
      <c r="B33" s="1" t="n">
        <v>44784</v>
      </c>
      <c r="C33" s="1" t="n">
        <v>46173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48647-2022</t>
        </is>
      </c>
      <c r="B34" s="1" t="n">
        <v>44859</v>
      </c>
      <c r="C34" s="1" t="n">
        <v>46173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43717-2021</t>
        </is>
      </c>
      <c r="B35" s="1" t="n">
        <v>44433.62546296296</v>
      </c>
      <c r="C35" s="1" t="n">
        <v>46173</v>
      </c>
      <c r="D35" t="inlineStr">
        <is>
          <t>STOCKHOLMS LÄN</t>
        </is>
      </c>
      <c r="E35" t="inlineStr">
        <is>
          <t>BOTKYRKA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14217-2025</t>
        </is>
      </c>
      <c r="B36" s="1" t="n">
        <v>45740.58534722222</v>
      </c>
      <c r="C36" s="1" t="n">
        <v>46173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46173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73772-2021</t>
        </is>
      </c>
      <c r="B38" s="1" t="n">
        <v>44552</v>
      </c>
      <c r="C38" s="1" t="n">
        <v>46173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30378-2024</t>
        </is>
      </c>
      <c r="B39" s="1" t="n">
        <v>45491</v>
      </c>
      <c r="C39" s="1" t="n">
        <v>46173</v>
      </c>
      <c r="D39" t="inlineStr">
        <is>
          <t>STOCKHOLMS LÄN</t>
        </is>
      </c>
      <c r="E39" t="inlineStr">
        <is>
          <t>BOTKYRKA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61242-2022</t>
        </is>
      </c>
      <c r="B40" s="1" t="n">
        <v>44915</v>
      </c>
      <c r="C40" s="1" t="n">
        <v>46173</v>
      </c>
      <c r="D40" t="inlineStr">
        <is>
          <t>STOCKHOLMS LÄN</t>
        </is>
      </c>
      <c r="E40" t="inlineStr">
        <is>
          <t>BOTKYRKA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46173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21285-2023</t>
        </is>
      </c>
      <c r="B42" s="1" t="n">
        <v>45062</v>
      </c>
      <c r="C42" s="1" t="n">
        <v>46173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73194-2021</t>
        </is>
      </c>
      <c r="B43" s="1" t="n">
        <v>44550.61508101852</v>
      </c>
      <c r="C43" s="1" t="n">
        <v>46173</v>
      </c>
      <c r="D43" t="inlineStr">
        <is>
          <t>STOCKHOLMS LÄN</t>
        </is>
      </c>
      <c r="E43" t="inlineStr">
        <is>
          <t>BOTKYRKA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30925-2023</t>
        </is>
      </c>
      <c r="B44" s="1" t="n">
        <v>45113</v>
      </c>
      <c r="C44" s="1" t="n">
        <v>46173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48656-2022</t>
        </is>
      </c>
      <c r="B45" s="1" t="n">
        <v>44859.43993055556</v>
      </c>
      <c r="C45" s="1" t="n">
        <v>46173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38194-2022</t>
        </is>
      </c>
      <c r="B46" s="1" t="n">
        <v>44812</v>
      </c>
      <c r="C46" s="1" t="n">
        <v>46173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15690-2023</t>
        </is>
      </c>
      <c r="B47" s="1" t="n">
        <v>45020</v>
      </c>
      <c r="C47" s="1" t="n">
        <v>46173</v>
      </c>
      <c r="D47" t="inlineStr">
        <is>
          <t>STOCKHOLMS LÄN</t>
        </is>
      </c>
      <c r="E47" t="inlineStr">
        <is>
          <t>BOTKYRKA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11867-2024</t>
        </is>
      </c>
      <c r="B48" s="1" t="n">
        <v>45376.45421296296</v>
      </c>
      <c r="C48" s="1" t="n">
        <v>46173</v>
      </c>
      <c r="D48" t="inlineStr">
        <is>
          <t>STOCKHOLMS LÄN</t>
        </is>
      </c>
      <c r="E48" t="inlineStr">
        <is>
          <t>BOTKYRKA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16149-2024</t>
        </is>
      </c>
      <c r="B49" s="1" t="n">
        <v>45406.56984953704</v>
      </c>
      <c r="C49" s="1" t="n">
        <v>46173</v>
      </c>
      <c r="D49" t="inlineStr">
        <is>
          <t>STOCKHOLMS LÄN</t>
        </is>
      </c>
      <c r="E49" t="inlineStr">
        <is>
          <t>BOTKYRKA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15905-2022</t>
        </is>
      </c>
      <c r="B50" s="1" t="n">
        <v>44664</v>
      </c>
      <c r="C50" s="1" t="n">
        <v>46173</v>
      </c>
      <c r="D50" t="inlineStr">
        <is>
          <t>STOCKHOLMS LÄN</t>
        </is>
      </c>
      <c r="E50" t="inlineStr">
        <is>
          <t>BOTKYRKA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16483-2023</t>
        </is>
      </c>
      <c r="B51" s="1" t="n">
        <v>45029</v>
      </c>
      <c r="C51" s="1" t="n">
        <v>46173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28983-2024</t>
        </is>
      </c>
      <c r="B52" s="1" t="n">
        <v>45481.47731481482</v>
      </c>
      <c r="C52" s="1" t="n">
        <v>46173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61225-2022</t>
        </is>
      </c>
      <c r="B53" s="1" t="n">
        <v>44915</v>
      </c>
      <c r="C53" s="1" t="n">
        <v>46173</v>
      </c>
      <c r="D53" t="inlineStr">
        <is>
          <t>STOCKHOLMS LÄN</t>
        </is>
      </c>
      <c r="E53" t="inlineStr">
        <is>
          <t>BOTKYRKA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25217-2024</t>
        </is>
      </c>
      <c r="B54" s="1" t="n">
        <v>45462</v>
      </c>
      <c r="C54" s="1" t="n">
        <v>46173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46173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46173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46405-2022</t>
        </is>
      </c>
      <c r="B57" s="1" t="n">
        <v>44846</v>
      </c>
      <c r="C57" s="1" t="n">
        <v>46173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20649-2022</t>
        </is>
      </c>
      <c r="B58" s="1" t="n">
        <v>44700</v>
      </c>
      <c r="C58" s="1" t="n">
        <v>46173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8528-2024</t>
        </is>
      </c>
      <c r="B59" s="1" t="n">
        <v>45355.49099537037</v>
      </c>
      <c r="C59" s="1" t="n">
        <v>46173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45945-2025</t>
        </is>
      </c>
      <c r="B60" s="1" t="n">
        <v>45924</v>
      </c>
      <c r="C60" s="1" t="n">
        <v>46173</v>
      </c>
      <c r="D60" t="inlineStr">
        <is>
          <t>STOCKHOLMS LÄN</t>
        </is>
      </c>
      <c r="E60" t="inlineStr">
        <is>
          <t>BOTKYRKA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45869-2022</t>
        </is>
      </c>
      <c r="B61" s="1" t="n">
        <v>44844</v>
      </c>
      <c r="C61" s="1" t="n">
        <v>46173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44586.57239583333</v>
      </c>
      <c r="C62" s="1" t="n">
        <v>46173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36097-2021</t>
        </is>
      </c>
      <c r="B63" s="1" t="n">
        <v>44389</v>
      </c>
      <c r="C63" s="1" t="n">
        <v>46173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16145-2024</t>
        </is>
      </c>
      <c r="B64" s="1" t="n">
        <v>45406.56561342593</v>
      </c>
      <c r="C64" s="1" t="n">
        <v>46173</v>
      </c>
      <c r="D64" t="inlineStr">
        <is>
          <t>STOCKHOLMS LÄN</t>
        </is>
      </c>
      <c r="E64" t="inlineStr">
        <is>
          <t>BOTKYRKA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15692-2023</t>
        </is>
      </c>
      <c r="B65" s="1" t="n">
        <v>45020</v>
      </c>
      <c r="C65" s="1" t="n">
        <v>46173</v>
      </c>
      <c r="D65" t="inlineStr">
        <is>
          <t>STOCKHOLMS LÄN</t>
        </is>
      </c>
      <c r="E65" t="inlineStr">
        <is>
          <t>BOTKYRKA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49175-2025</t>
        </is>
      </c>
      <c r="B66" s="1" t="n">
        <v>45938.3790162037</v>
      </c>
      <c r="C66" s="1" t="n">
        <v>46173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61514-2022</t>
        </is>
      </c>
      <c r="B67" s="1" t="n">
        <v>44916</v>
      </c>
      <c r="C67" s="1" t="n">
        <v>46173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73151-2021</t>
        </is>
      </c>
      <c r="B68" s="1" t="n">
        <v>44550.5162037037</v>
      </c>
      <c r="C68" s="1" t="n">
        <v>46173</v>
      </c>
      <c r="D68" t="inlineStr">
        <is>
          <t>STOCKHOLMS LÄN</t>
        </is>
      </c>
      <c r="E68" t="inlineStr">
        <is>
          <t>BOTKYRKA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50474-2025</t>
        </is>
      </c>
      <c r="B69" s="1" t="n">
        <v>45945.36526620371</v>
      </c>
      <c r="C69" s="1" t="n">
        <v>46173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46173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3021-2025</t>
        </is>
      </c>
      <c r="B71" s="1" t="n">
        <v>45678.57962962963</v>
      </c>
      <c r="C71" s="1" t="n">
        <v>46173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46173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73155-2021</t>
        </is>
      </c>
      <c r="B73" s="1" t="n">
        <v>44550</v>
      </c>
      <c r="C73" s="1" t="n">
        <v>46173</v>
      </c>
      <c r="D73" t="inlineStr">
        <is>
          <t>STOCKHOLMS LÄN</t>
        </is>
      </c>
      <c r="E73" t="inlineStr">
        <is>
          <t>BOTKYRKA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6059-2022</t>
        </is>
      </c>
      <c r="B74" s="1" t="n">
        <v>44599</v>
      </c>
      <c r="C74" s="1" t="n">
        <v>46173</v>
      </c>
      <c r="D74" t="inlineStr">
        <is>
          <t>STOCKHOLMS LÄN</t>
        </is>
      </c>
      <c r="E74" t="inlineStr">
        <is>
          <t>BOTKYRKA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16142-2024</t>
        </is>
      </c>
      <c r="B75" s="1" t="n">
        <v>45406</v>
      </c>
      <c r="C75" s="1" t="n">
        <v>46173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23716-2026</t>
        </is>
      </c>
      <c r="B76" s="1" t="n">
        <v>46164.46613425926</v>
      </c>
      <c r="C76" s="1" t="n">
        <v>46173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37095-2021</t>
        </is>
      </c>
      <c r="B77" s="1" t="n">
        <v>44395</v>
      </c>
      <c r="C77" s="1" t="n">
        <v>46173</v>
      </c>
      <c r="D77" t="inlineStr">
        <is>
          <t>STOCKHOLMS LÄN</t>
        </is>
      </c>
      <c r="E77" t="inlineStr">
        <is>
          <t>BOTKYRKA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11876-2024</t>
        </is>
      </c>
      <c r="B78" s="1" t="n">
        <v>45376.47072916666</v>
      </c>
      <c r="C78" s="1" t="n">
        <v>46173</v>
      </c>
      <c r="D78" t="inlineStr">
        <is>
          <t>STOCKHOLMS LÄN</t>
        </is>
      </c>
      <c r="E78" t="inlineStr">
        <is>
          <t>BOTKYRKA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24799-2026</t>
        </is>
      </c>
      <c r="B79" s="1" t="n">
        <v>46171.85594907407</v>
      </c>
      <c r="C79" s="1" t="n">
        <v>46173</v>
      </c>
      <c r="D79" t="inlineStr">
        <is>
          <t>STOCKHOLMS LÄN</t>
        </is>
      </c>
      <c r="E79" t="inlineStr">
        <is>
          <t>BOTKYRKA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12306-2026</t>
        </is>
      </c>
      <c r="B80" s="1" t="n">
        <v>46087.57949074074</v>
      </c>
      <c r="C80" s="1" t="n">
        <v>46173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12294-2026</t>
        </is>
      </c>
      <c r="B81" s="1" t="n">
        <v>46087.55737268519</v>
      </c>
      <c r="C81" s="1" t="n">
        <v>46173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22391-2026</t>
        </is>
      </c>
      <c r="B82" s="1" t="n">
        <v>46154.64201388889</v>
      </c>
      <c r="C82" s="1" t="n">
        <v>46173</v>
      </c>
      <c r="D82" t="inlineStr">
        <is>
          <t>STOCKHOLMS LÄN</t>
        </is>
      </c>
      <c r="E82" t="inlineStr">
        <is>
          <t>BOTKYRKA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23718-2026</t>
        </is>
      </c>
      <c r="B83" s="1" t="n">
        <v>46164.46760416667</v>
      </c>
      <c r="C83" s="1" t="n">
        <v>46173</v>
      </c>
      <c r="D83" t="inlineStr">
        <is>
          <t>STOCKHOLMS LÄN</t>
        </is>
      </c>
      <c r="E83" t="inlineStr">
        <is>
          <t>BOTKYRKA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23725-2026</t>
        </is>
      </c>
      <c r="B84" s="1" t="n">
        <v>46164.46996527778</v>
      </c>
      <c r="C84" s="1" t="n">
        <v>46173</v>
      </c>
      <c r="D84" t="inlineStr">
        <is>
          <t>STOCKHOLMS LÄN</t>
        </is>
      </c>
      <c r="E84" t="inlineStr">
        <is>
          <t>BOTKYRKA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2026-05-31T10:53:38Z</dcterms:created>
  <dcterms:modified xmlns:dcterms="http://purl.org/dc/terms/" xmlns:xsi="http://www.w3.org/2001/XMLSchema-instance" xsi:type="dcterms:W3CDTF">2026-05-31T10:53:38Z</dcterms:modified>
</cp:coreProperties>
</file>