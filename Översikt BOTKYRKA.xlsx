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46319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12</v>
      </c>
      <c r="K2" t="n">
        <v>2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51</v>
      </c>
      <c r="U2" t="n">
        <v>51</v>
      </c>
      <c r="V2" s="2" t="inlineStr">
        <is>
          <t>Stare
Fransfladdermus
Grönsångare
Gulsparv
Nordfladdermus
Rödvingetrast
Slåtterfibbla
Tallticka
Blåmossa
Mindre märgborre
Kransmossa
Liljekonvalj
Spillkråka
Tofsmes
Dvärgpipistrell
Gröngöling
Större brunfladdermus
Vattenfladdermus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46319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46319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46319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46319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46319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46319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46319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24799-2026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46171</v>
      </c>
      <c r="E12" s="1" t="n">
        <v>46319</v>
      </c>
      <c r="F12" t="inlineStr">
        <is>
          <t>STOCKHOLMS LÄN</t>
        </is>
      </c>
      <c r="G12" t="inlineStr">
        <is>
          <t>BOTKYRKA</t>
        </is>
      </c>
      <c r="I12" t="n">
        <v>1.7</v>
      </c>
      <c r="J12" t="n">
        <v>3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Gulsparv
Mindre märgborre
Spillkråka
Tofsmes</t>
        </is>
      </c>
      <c r="W12">
        <f>HYPERLINK("https://klasma.github.io/Logging_0127/artfynd/A 24799-2026 artfynd.xlsx", "A 24799-2026")</f>
        <v/>
      </c>
      <c r="X12">
        <f>HYPERLINK("https://klasma.github.io/Logging_0127/kartor/A 24799-2026 karta.png", "A 24799-2026")</f>
        <v/>
      </c>
      <c r="Y12">
        <f>HYPERLINK("https://klasma.github.io/Logging_0127/kartor_geotiff/A 24799-2026 georefererad karta.tif", "A 24799-2026")</f>
        <v/>
      </c>
      <c r="AA12">
        <f>HYPERLINK("https://klasma.github.io/Logging_0127/klagomål/A 24799-2026 FSC-klagomål.docx", "A 24799-2026")</f>
        <v/>
      </c>
      <c r="AB12">
        <f>HYPERLINK("https://klasma.github.io/Logging_0127/klagomålsmail/A 24799-2026 FSC-klagomål mail.docx", "A 24799-2026")</f>
        <v/>
      </c>
      <c r="AC12">
        <f>HYPERLINK("https://klasma.github.io/Logging_0127/tillsyn/A 24799-2026 tillsynsbegäran.docx", "A 24799-2026")</f>
        <v/>
      </c>
      <c r="AD12">
        <f>HYPERLINK("https://klasma.github.io/Logging_0127/tillsynsmail/A 24799-2026 tillsynsbegäran mail.docx", "A 24799-2026")</f>
        <v/>
      </c>
      <c r="AE12">
        <f>HYPERLINK("https://klasma.github.io/Logging_0127/fåglar/A 24799-2026 prioriterade fågelarter.docx", "A 24799-2026")</f>
        <v/>
      </c>
    </row>
    <row r="13" ht="15" customHeight="1">
      <c r="A13" t="inlineStr">
        <is>
          <t>A 14220-2025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46319</v>
      </c>
      <c r="F13" t="inlineStr">
        <is>
          <t>STOCKHOLMS LÄN</t>
        </is>
      </c>
      <c r="G13" t="inlineStr">
        <is>
          <t>BOTKYRKA</t>
        </is>
      </c>
      <c r="I13" t="n">
        <v>3.3</v>
      </c>
      <c r="J13" t="n">
        <v>2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Tallticka
Tibast
Blåsippa</t>
        </is>
      </c>
      <c r="W13">
        <f>HYPERLINK("https://klasma.github.io/Logging_0127/artfynd/A 14220-2025 artfynd.xlsx", "A 14220-2025")</f>
        <v/>
      </c>
      <c r="X13">
        <f>HYPERLINK("https://klasma.github.io/Logging_0127/kartor/A 14220-2025 karta.png", "A 14220-2025")</f>
        <v/>
      </c>
      <c r="Y13">
        <f>HYPERLINK("https://klasma.github.io/Logging_0127/kartor_geotiff/A 14220-2025 georefererad karta.tif", "A 14220-2025")</f>
        <v/>
      </c>
      <c r="Z13">
        <f>HYPERLINK("https://klasma.github.io/Logging_0127/knärot/A 14220-2025 karta knärot.png", "A 14220-2025")</f>
        <v/>
      </c>
      <c r="AA13">
        <f>HYPERLINK("https://klasma.github.io/Logging_0127/klagomål/A 14220-2025 FSC-klagomål.docx", "A 14220-2025")</f>
        <v/>
      </c>
      <c r="AB13">
        <f>HYPERLINK("https://klasma.github.io/Logging_0127/klagomålsmail/A 14220-2025 FSC-klagomål mail.docx", "A 14220-2025")</f>
        <v/>
      </c>
      <c r="AC13">
        <f>HYPERLINK("https://klasma.github.io/Logging_0127/tillsyn/A 14220-2025 tillsynsbegäran.docx", "A 14220-2025")</f>
        <v/>
      </c>
      <c r="AD13">
        <f>HYPERLINK("https://klasma.github.io/Logging_0127/tillsynsmail/A 14220-2025 tillsynsbegäran mail.docx", "A 14220-2025")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46319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25319-2026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46176</v>
      </c>
      <c r="E15" s="1" t="n">
        <v>46319</v>
      </c>
      <c r="F15" t="inlineStr">
        <is>
          <t>STOCKHOLMS LÄN</t>
        </is>
      </c>
      <c r="G15" t="inlineStr">
        <is>
          <t>BOTKYRKA</t>
        </is>
      </c>
      <c r="I15" t="n">
        <v>1.6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Grovticka
Spillkråka
Tofsmes</t>
        </is>
      </c>
      <c r="W15">
        <f>HYPERLINK("https://klasma.github.io/Logging_0127/artfynd/A 25319-2026 artfynd.xlsx", "A 25319-2026")</f>
        <v/>
      </c>
      <c r="X15">
        <f>HYPERLINK("https://klasma.github.io/Logging_0127/kartor/A 25319-2026 karta.png", "A 25319-2026")</f>
        <v/>
      </c>
      <c r="Y15">
        <f>HYPERLINK("https://klasma.github.io/Logging_0127/kartor_geotiff/A 25319-2026 georefererad karta.tif", "A 25319-2026")</f>
        <v/>
      </c>
      <c r="AA15">
        <f>HYPERLINK("https://klasma.github.io/Logging_0127/klagomål/A 25319-2026 FSC-klagomål.docx", "A 25319-2026")</f>
        <v/>
      </c>
      <c r="AB15">
        <f>HYPERLINK("https://klasma.github.io/Logging_0127/klagomålsmail/A 25319-2026 FSC-klagomål mail.docx", "A 25319-2026")</f>
        <v/>
      </c>
      <c r="AC15">
        <f>HYPERLINK("https://klasma.github.io/Logging_0127/tillsyn/A 25319-2026 tillsynsbegäran.docx", "A 25319-2026")</f>
        <v/>
      </c>
      <c r="AD15">
        <f>HYPERLINK("https://klasma.github.io/Logging_0127/tillsynsmail/A 25319-2026 tillsynsbegäran mail.docx", "A 25319-2026")</f>
        <v/>
      </c>
      <c r="AE15">
        <f>HYPERLINK("https://klasma.github.io/Logging_0127/fåglar/A 25319-2026 prioriterade fågelarter.docx", "A 25319-2026")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46319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46319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25315-2026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46176</v>
      </c>
      <c r="E18" s="1" t="n">
        <v>46319</v>
      </c>
      <c r="F18" t="inlineStr">
        <is>
          <t>STOCKHOLMS LÄN</t>
        </is>
      </c>
      <c r="G18" t="inlineStr">
        <is>
          <t>BOTKYRKA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Spillkråka
Tofsmes</t>
        </is>
      </c>
      <c r="W18">
        <f>HYPERLINK("https://klasma.github.io/Logging_0127/artfynd/A 25315-2026 artfynd.xlsx", "A 25315-2026")</f>
        <v/>
      </c>
      <c r="X18">
        <f>HYPERLINK("https://klasma.github.io/Logging_0127/kartor/A 25315-2026 karta.png", "A 25315-2026")</f>
        <v/>
      </c>
      <c r="Y18">
        <f>HYPERLINK("https://klasma.github.io/Logging_0127/kartor_geotiff/A 25315-2026 georefererad karta.tif", "A 25315-2026")</f>
        <v/>
      </c>
      <c r="AA18">
        <f>HYPERLINK("https://klasma.github.io/Logging_0127/klagomål/A 25315-2026 FSC-klagomål.docx", "A 25315-2026")</f>
        <v/>
      </c>
      <c r="AB18">
        <f>HYPERLINK("https://klasma.github.io/Logging_0127/klagomålsmail/A 25315-2026 FSC-klagomål mail.docx", "A 25315-2026")</f>
        <v/>
      </c>
      <c r="AC18">
        <f>HYPERLINK("https://klasma.github.io/Logging_0127/tillsyn/A 25315-2026 tillsynsbegäran.docx", "A 25315-2026")</f>
        <v/>
      </c>
      <c r="AD18">
        <f>HYPERLINK("https://klasma.github.io/Logging_0127/tillsynsmail/A 25315-2026 tillsynsbegäran mail.docx", "A 25315-2026")</f>
        <v/>
      </c>
      <c r="AE18">
        <f>HYPERLINK("https://klasma.github.io/Logging_0127/fåglar/A 25315-2026 prioriterade fågelarter.docx", "A 25315-2026")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46319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30378-2024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45491</v>
      </c>
      <c r="E20" s="1" t="n">
        <v>46319</v>
      </c>
      <c r="F20" t="inlineStr">
        <is>
          <t>STOCKHOLMS LÄN</t>
        </is>
      </c>
      <c r="G20" t="inlineStr">
        <is>
          <t>BOTKYRKA</t>
        </is>
      </c>
      <c r="I20" t="n">
        <v>0.3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tåtelsmygare
Svinrot</t>
        </is>
      </c>
      <c r="W20">
        <f>HYPERLINK("https://klasma.github.io/Logging_0127/artfynd/A 30378-2024 artfynd.xlsx", "A 30378-2024")</f>
        <v/>
      </c>
      <c r="X20">
        <f>HYPERLINK("https://klasma.github.io/Logging_0127/kartor/A 30378-2024 karta.png", "A 30378-2024")</f>
        <v/>
      </c>
      <c r="Y20">
        <f>HYPERLINK("https://klasma.github.io/Logging_0127/kartor_geotiff/A 30378-2024 georefererad karta.tif", "A 30378-2024")</f>
        <v/>
      </c>
      <c r="AA20">
        <f>HYPERLINK("https://klasma.github.io/Logging_0127/klagomål/A 30378-2024 FSC-klagomål.docx", "A 30378-2024")</f>
        <v/>
      </c>
      <c r="AB20">
        <f>HYPERLINK("https://klasma.github.io/Logging_0127/klagomålsmail/A 30378-2024 FSC-klagomål mail.docx", "A 30378-2024")</f>
        <v/>
      </c>
      <c r="AC20">
        <f>HYPERLINK("https://klasma.github.io/Logging_0127/tillsyn/A 30378-2024 tillsynsbegäran.docx", "A 30378-2024")</f>
        <v/>
      </c>
      <c r="AD20">
        <f>HYPERLINK("https://klasma.github.io/Logging_0127/tillsynsmail/A 30378-2024 tillsynsbegäran mail.docx", "A 30378-2024")</f>
        <v/>
      </c>
    </row>
    <row r="21" ht="15" customHeight="1">
      <c r="A21" t="inlineStr">
        <is>
          <t>A 15905-2022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44664</v>
      </c>
      <c r="E21" s="1" t="n">
        <v>46319</v>
      </c>
      <c r="F21" t="inlineStr">
        <is>
          <t>STOCKHOLMS LÄN</t>
        </is>
      </c>
      <c r="G21" t="inlineStr">
        <is>
          <t>BOTKYRKA</t>
        </is>
      </c>
      <c r="I21" t="n">
        <v>11.2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Motaggsvamp
Svartvit taggsvamp</t>
        </is>
      </c>
      <c r="W21">
        <f>HYPERLINK("https://klasma.github.io/Logging_0127/artfynd/A 15905-2022 artfynd.xlsx", "A 15905-2022")</f>
        <v/>
      </c>
      <c r="X21">
        <f>HYPERLINK("https://klasma.github.io/Logging_0127/kartor/A 15905-2022 karta.png", "A 15905-2022")</f>
        <v/>
      </c>
      <c r="Y21">
        <f>HYPERLINK("https://klasma.github.io/Logging_0127/kartor_geotiff/A 15905-2022 georefererad karta.tif", "A 15905-2022")</f>
        <v/>
      </c>
      <c r="AA21">
        <f>HYPERLINK("https://klasma.github.io/Logging_0127/klagomål/A 15905-2022 FSC-klagomål.docx", "A 15905-2022")</f>
        <v/>
      </c>
      <c r="AB21">
        <f>HYPERLINK("https://klasma.github.io/Logging_0127/klagomålsmail/A 15905-2022 FSC-klagomål mail.docx", "A 15905-2022")</f>
        <v/>
      </c>
      <c r="AC21">
        <f>HYPERLINK("https://klasma.github.io/Logging_0127/tillsyn/A 15905-2022 tillsynsbegäran.docx", "A 15905-2022")</f>
        <v/>
      </c>
      <c r="AD21">
        <f>HYPERLINK("https://klasma.github.io/Logging_0127/tillsynsmail/A 15905-2022 tillsynsbegäran mail.docx", "A 15905-2022")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46319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12305-2026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46087</v>
      </c>
      <c r="E23" s="1" t="n">
        <v>46319</v>
      </c>
      <c r="F23" t="inlineStr">
        <is>
          <t>STOCKHOLMS LÄN</t>
        </is>
      </c>
      <c r="G23" t="inlineStr">
        <is>
          <t>BOTKYRKA</t>
        </is>
      </c>
      <c r="H23" t="inlineStr">
        <is>
          <t>Övriga Aktiebolag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HYPERLINK("https://klasma.github.io/Logging_0127/artfynd/A 12305-2026 artfynd.xlsx", "A 12305-2026")</f>
        <v/>
      </c>
      <c r="X23">
        <f>HYPERLINK("https://klasma.github.io/Logging_0127/kartor/A 12305-2026 karta.png", "A 12305-2026")</f>
        <v/>
      </c>
      <c r="Y23">
        <f>HYPERLINK("https://klasma.github.io/Logging_0127/kartor_geotiff/A 12305-2026 georefererad karta.tif", "A 12305-2026")</f>
        <v/>
      </c>
      <c r="AA23">
        <f>HYPERLINK("https://klasma.github.io/Logging_0127/klagomål/A 12305-2026 FSC-klagomål.docx", "A 12305-2026")</f>
        <v/>
      </c>
      <c r="AB23">
        <f>HYPERLINK("https://klasma.github.io/Logging_0127/klagomålsmail/A 12305-2026 FSC-klagomål mail.docx", "A 12305-2026")</f>
        <v/>
      </c>
      <c r="AC23">
        <f>HYPERLINK("https://klasma.github.io/Logging_0127/tillsyn/A 12305-2026 tillsynsbegäran.docx", "A 12305-2026")</f>
        <v/>
      </c>
      <c r="AD23">
        <f>HYPERLINK("https://klasma.github.io/Logging_0127/tillsynsmail/A 12305-2026 tillsynsbegäran mail.docx", "A 12305-2026")</f>
        <v/>
      </c>
      <c r="AE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46319</v>
      </c>
      <c r="F24" t="inlineStr">
        <is>
          <t>STOCKHOLMS LÄN</t>
        </is>
      </c>
      <c r="G24" t="inlineStr">
        <is>
          <t>BOTKYRKA</t>
        </is>
      </c>
      <c r="H24" t="inlineStr">
        <is>
          <t>Övriga Aktiebolag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hackspett</t>
        </is>
      </c>
      <c r="W24">
        <f>HYPERLINK("https://klasma.github.io/Logging_0127/artfynd/A 12590-2026 artfynd.xlsx", "A 12590-2026")</f>
        <v/>
      </c>
      <c r="X24">
        <f>HYPERLINK("https://klasma.github.io/Logging_0127/kartor/A 12590-2026 karta.png", "A 12590-2026")</f>
        <v/>
      </c>
      <c r="Y24">
        <f>HYPERLINK("https://klasma.github.io/Logging_0127/kartor_geotiff/A 12590-2026 georefererad karta.tif", "A 12590-2026")</f>
        <v/>
      </c>
      <c r="AA24">
        <f>HYPERLINK("https://klasma.github.io/Logging_0127/klagomål/A 12590-2026 FSC-klagomål.docx", "A 12590-2026")</f>
        <v/>
      </c>
      <c r="AB24">
        <f>HYPERLINK("https://klasma.github.io/Logging_0127/klagomålsmail/A 12590-2026 FSC-klagomål mail.docx", "A 12590-2026")</f>
        <v/>
      </c>
      <c r="AC24">
        <f>HYPERLINK("https://klasma.github.io/Logging_0127/tillsyn/A 12590-2026 tillsynsbegäran.docx", "A 12590-2026")</f>
        <v/>
      </c>
      <c r="AD24">
        <f>HYPERLINK("https://klasma.github.io/Logging_0127/tillsynsmail/A 12590-2026 tillsynsbegäran mail.docx", "A 12590-2026")</f>
        <v/>
      </c>
      <c r="AE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46319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Fyrflikig jordstjärna</t>
        </is>
      </c>
      <c r="W25">
        <f>HYPERLINK("https://klasma.github.io/Logging_0127/artfynd/A 12842-2026 artfynd.xlsx", "A 12842-2026")</f>
        <v/>
      </c>
      <c r="X25">
        <f>HYPERLINK("https://klasma.github.io/Logging_0127/kartor/A 12842-2026 karta.png", "A 12842-2026")</f>
        <v/>
      </c>
      <c r="Y25">
        <f>HYPERLINK("https://klasma.github.io/Logging_0127/kartor_geotiff/A 12842-2026 georefererad karta.tif", "A 12842-2026")</f>
        <v/>
      </c>
      <c r="AA25">
        <f>HYPERLINK("https://klasma.github.io/Logging_0127/klagomål/A 12842-2026 FSC-klagomål.docx", "A 12842-2026")</f>
        <v/>
      </c>
      <c r="AB25">
        <f>HYPERLINK("https://klasma.github.io/Logging_0127/klagomålsmail/A 12842-2026 FSC-klagomål mail.docx", "A 12842-2026")</f>
        <v/>
      </c>
      <c r="AC25">
        <f>HYPERLINK("https://klasma.github.io/Logging_0127/tillsyn/A 12842-2026 tillsynsbegäran.docx", "A 12842-2026")</f>
        <v/>
      </c>
      <c r="AD25">
        <f>HYPERLINK("https://klasma.github.io/Logging_0127/tillsynsmail/A 12842-2026 tillsynsbegäran mail.docx", "A 12842-2026")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46319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46319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46319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46319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46319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46319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46319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46319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46319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46319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46319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25217-2024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45462</v>
      </c>
      <c r="E37" s="1" t="n">
        <v>46319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46319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46319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23725-2026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46164</v>
      </c>
      <c r="E40" s="1" t="n">
        <v>46319</v>
      </c>
      <c r="F40" t="inlineStr">
        <is>
          <t>STOCKHOLMS LÄN</t>
        </is>
      </c>
      <c r="G40" t="inlineStr">
        <is>
          <t>BOTKYRKA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23718-2026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46164</v>
      </c>
      <c r="E41" s="1" t="n">
        <v>46319</v>
      </c>
      <c r="F41" t="inlineStr">
        <is>
          <t>STOCKHOLMS LÄN</t>
        </is>
      </c>
      <c r="G41" t="inlineStr">
        <is>
          <t>BOTKYRKA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23716-2026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46164</v>
      </c>
      <c r="E42" s="1" t="n">
        <v>46319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45029</v>
      </c>
      <c r="E43" s="1" t="n">
        <v>46319</v>
      </c>
      <c r="F43" t="inlineStr">
        <is>
          <t>STOCKHOLMS LÄN</t>
        </is>
      </c>
      <c r="G43" t="inlineStr">
        <is>
          <t>BOTKYRKA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46319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30622-2024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45495</v>
      </c>
      <c r="E45" s="1" t="n">
        <v>46319</v>
      </c>
      <c r="F45" t="inlineStr">
        <is>
          <t>STOCKHOLMS LÄN</t>
        </is>
      </c>
      <c r="G45" t="inlineStr">
        <is>
          <t>BOTKYRKA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46319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27717-2026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46190</v>
      </c>
      <c r="E47" s="1" t="n">
        <v>46319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46319</v>
      </c>
      <c r="F48" t="inlineStr">
        <is>
          <t>STOCKHOLMS LÄN</t>
        </is>
      </c>
      <c r="G48" t="inlineStr">
        <is>
          <t>BOTKYRKA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46319</v>
      </c>
      <c r="F49" t="inlineStr">
        <is>
          <t>STOCKHOLMS LÄN</t>
        </is>
      </c>
      <c r="G49" t="inlineStr">
        <is>
          <t>BOTKYRKA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46319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46319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46319</v>
      </c>
      <c r="F52" t="inlineStr">
        <is>
          <t>STOCKHOLMS LÄN</t>
        </is>
      </c>
      <c r="G52" t="inlineStr">
        <is>
          <t>BOTKYRKA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46319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12306-2026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46319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46087</v>
      </c>
      <c r="E55" s="1" t="n">
        <v>46319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46258</v>
      </c>
      <c r="E56" s="1" t="n">
        <v>46319</v>
      </c>
      <c r="F56" t="inlineStr">
        <is>
          <t>STOCKHOLMS LÄN</t>
        </is>
      </c>
      <c r="G56" t="inlineStr">
        <is>
          <t>BOTKYRKA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46319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45020</v>
      </c>
      <c r="E58" s="1" t="n">
        <v>46319</v>
      </c>
      <c r="F58" t="inlineStr">
        <is>
          <t>STOCKHOLMS LÄN</t>
        </is>
      </c>
      <c r="G58" t="inlineStr">
        <is>
          <t>BOTKYRKA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46319</v>
      </c>
      <c r="F59" t="inlineStr">
        <is>
          <t>STOCKHOLMS LÄN</t>
        </is>
      </c>
      <c r="G59" t="inlineStr">
        <is>
          <t>BOTKYRKA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46319</v>
      </c>
      <c r="F60" t="inlineStr">
        <is>
          <t>STOCKHOLMS LÄN</t>
        </is>
      </c>
      <c r="G60" t="inlineStr">
        <is>
          <t>BOTKYRKA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45062</v>
      </c>
      <c r="E61" s="1" t="n">
        <v>46319</v>
      </c>
      <c r="F61" t="inlineStr">
        <is>
          <t>STOCKHOLMS LÄN</t>
        </is>
      </c>
      <c r="G61" t="inlineStr">
        <is>
          <t>BOTKYRKA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45678</v>
      </c>
      <c r="E62" s="1" t="n">
        <v>46319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46319</v>
      </c>
      <c r="F63" t="inlineStr">
        <is>
          <t>STOCKHOLMS LÄN</t>
        </is>
      </c>
      <c r="G63" t="inlineStr">
        <is>
          <t>BOTKYRKA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46319</v>
      </c>
      <c r="F64" t="inlineStr">
        <is>
          <t>STOCKHOLMS LÄN</t>
        </is>
      </c>
      <c r="G64" t="inlineStr">
        <is>
          <t>BOTKYRKA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73194-2021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46319</v>
      </c>
      <c r="F65" t="inlineStr">
        <is>
          <t>STOCKHOLMS LÄN</t>
        </is>
      </c>
      <c r="G65" t="inlineStr">
        <is>
          <t>BOTKYRKA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46319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46319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8528-2024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45355</v>
      </c>
      <c r="E68" s="1" t="n">
        <v>46319</v>
      </c>
      <c r="F68" t="inlineStr">
        <is>
          <t>STOCKHOLMS LÄN</t>
        </is>
      </c>
      <c r="G68" t="inlineStr">
        <is>
          <t>BOTKYRKA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46319</v>
      </c>
      <c r="F69" t="inlineStr">
        <is>
          <t>STOCKHOLMS LÄN</t>
        </is>
      </c>
      <c r="G69" t="inlineStr">
        <is>
          <t>BOTKYRKA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46319</v>
      </c>
      <c r="F70" t="inlineStr">
        <is>
          <t>STOCKHOLMS LÄN</t>
        </is>
      </c>
      <c r="G70" t="inlineStr">
        <is>
          <t>BOTKYRKA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46319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2026-10-24T02:05:01Z</dcterms:created>
  <dcterms:modified xmlns:dcterms="http://purl.org/dc/terms/" xmlns:xsi="http://www.w3.org/2001/XMLSchema-instance" xsi:type="dcterms:W3CDTF">2026-10-24T02:05:01Z</dcterms:modified>
</cp:coreProperties>
</file>