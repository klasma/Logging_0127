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45941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45941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45941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s="1" t="n">
        <v>45936.3874074074</v>
      </c>
      <c r="C5" s="1" t="n">
        <v>45941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Svartvit taggsvamp
Tallticka
Mindre märgborre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</row>
    <row r="6" ht="15" customHeight="1">
      <c r="A6" t="inlineStr">
        <is>
          <t>A 45595-2025</t>
        </is>
      </c>
      <c r="B6" s="1" t="n">
        <v>45922.68</v>
      </c>
      <c r="C6" s="1" t="n">
        <v>45941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Gulsparv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45941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53981-2020</t>
        </is>
      </c>
      <c r="B8" s="1" t="n">
        <v>44125</v>
      </c>
      <c r="C8" s="1" t="n">
        <v>45941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6.3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Mindre vattensalamander
Vanlig groda
Vanlig padda</t>
        </is>
      </c>
      <c r="S8">
        <f>HYPERLINK("https://klasma.github.io/Logging_0127/artfynd/A 53981-2020 artfynd.xlsx", "A 53981-2020")</f>
        <v/>
      </c>
      <c r="T8">
        <f>HYPERLINK("https://klasma.github.io/Logging_0127/kartor/A 53981-2020 karta.png", "A 53981-2020")</f>
        <v/>
      </c>
      <c r="V8">
        <f>HYPERLINK("https://klasma.github.io/Logging_0127/klagomål/A 53981-2020 FSC-klagomål.docx", "A 53981-2020")</f>
        <v/>
      </c>
      <c r="W8">
        <f>HYPERLINK("https://klasma.github.io/Logging_0127/klagomålsmail/A 53981-2020 FSC-klagomål mail.docx", "A 53981-2020")</f>
        <v/>
      </c>
      <c r="X8">
        <f>HYPERLINK("https://klasma.github.io/Logging_0127/tillsyn/A 53981-2020 tillsynsbegäran.docx", "A 53981-2020")</f>
        <v/>
      </c>
      <c r="Y8">
        <f>HYPERLINK("https://klasma.github.io/Logging_0127/tillsynsmail/A 53981-2020 tillsynsbegäran mail.docx", "A 53981-2020")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45941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45941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45941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45941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56816-2021</t>
        </is>
      </c>
      <c r="B13" s="1" t="n">
        <v>44481</v>
      </c>
      <c r="C13" s="1" t="n">
        <v>45941</v>
      </c>
      <c r="D13" t="inlineStr">
        <is>
          <t>STOCKHOLMS LÄN</t>
        </is>
      </c>
      <c r="E13" t="inlineStr">
        <is>
          <t>BOTKYRKA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HYPERLINK("https://klasma.github.io/Logging_0127/artfynd/A 56816-2021 artfynd.xlsx", "A 56816-2021")</f>
        <v/>
      </c>
      <c r="T13">
        <f>HYPERLINK("https://klasma.github.io/Logging_0127/kartor/A 56816-2021 karta.png", "A 56816-2021")</f>
        <v/>
      </c>
      <c r="V13">
        <f>HYPERLINK("https://klasma.github.io/Logging_0127/klagomål/A 56816-2021 FSC-klagomål.docx", "A 56816-2021")</f>
        <v/>
      </c>
      <c r="W13">
        <f>HYPERLINK("https://klasma.github.io/Logging_0127/klagomålsmail/A 56816-2021 FSC-klagomål mail.docx", "A 56816-2021")</f>
        <v/>
      </c>
      <c r="X13">
        <f>HYPERLINK("https://klasma.github.io/Logging_0127/tillsyn/A 56816-2021 tillsynsbegäran.docx", "A 56816-2021")</f>
        <v/>
      </c>
      <c r="Y13">
        <f>HYPERLINK("https://klasma.github.io/Logging_0127/tillsynsmail/A 56816-2021 tillsynsbegäran mail.docx", "A 56816-2021")</f>
        <v/>
      </c>
      <c r="Z13">
        <f>HYPERLINK("https://klasma.github.io/Logging_0127/fåglar/A 56816-2021 prioriterade fågelarter.docx", "A 56816-2021")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45941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45941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45941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45941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45941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45941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27791-2021</t>
        </is>
      </c>
      <c r="B20" s="1" t="n">
        <v>44354</v>
      </c>
      <c r="C20" s="1" t="n">
        <v>45941</v>
      </c>
      <c r="D20" t="inlineStr">
        <is>
          <t>STOCKHOLMS LÄN</t>
        </is>
      </c>
      <c r="E20" t="inlineStr">
        <is>
          <t>BOTKYRKA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3681-2022</t>
        </is>
      </c>
      <c r="B21" s="1" t="n">
        <v>44586</v>
      </c>
      <c r="C21" s="1" t="n">
        <v>45941</v>
      </c>
      <c r="D21" t="inlineStr">
        <is>
          <t>STOCKHOLMS LÄN</t>
        </is>
      </c>
      <c r="E21" t="inlineStr">
        <is>
          <t>BOTKYRKA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45941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45941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45941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45941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45941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45941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45941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45941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45941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43717-2021</t>
        </is>
      </c>
      <c r="B31" s="1" t="n">
        <v>44433.62546296296</v>
      </c>
      <c r="C31" s="1" t="n">
        <v>45941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45941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54002-2020</t>
        </is>
      </c>
      <c r="B33" s="1" t="n">
        <v>44125</v>
      </c>
      <c r="C33" s="1" t="n">
        <v>45941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28983-2024</t>
        </is>
      </c>
      <c r="B34" s="1" t="n">
        <v>45481.47731481482</v>
      </c>
      <c r="C34" s="1" t="n">
        <v>45941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15690-2023</t>
        </is>
      </c>
      <c r="B35" s="1" t="n">
        <v>45020</v>
      </c>
      <c r="C35" s="1" t="n">
        <v>45941</v>
      </c>
      <c r="D35" t="inlineStr">
        <is>
          <t>STOCKHOLMS LÄN</t>
        </is>
      </c>
      <c r="E35" t="inlineStr">
        <is>
          <t>BOTKYRKA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73155-2021</t>
        </is>
      </c>
      <c r="B36" s="1" t="n">
        <v>44550</v>
      </c>
      <c r="C36" s="1" t="n">
        <v>45941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45941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45941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16145-2024</t>
        </is>
      </c>
      <c r="B39" s="1" t="n">
        <v>45406.56561342593</v>
      </c>
      <c r="C39" s="1" t="n">
        <v>45941</v>
      </c>
      <c r="D39" t="inlineStr">
        <is>
          <t>STOCKHOLMS LÄN</t>
        </is>
      </c>
      <c r="E39" t="inlineStr">
        <is>
          <t>BOTKYRKA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45941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45941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45941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37095-2021</t>
        </is>
      </c>
      <c r="B43" s="1" t="n">
        <v>44395</v>
      </c>
      <c r="C43" s="1" t="n">
        <v>45941</v>
      </c>
      <c r="D43" t="inlineStr">
        <is>
          <t>STOCKHOLMS LÄN</t>
        </is>
      </c>
      <c r="E43" t="inlineStr">
        <is>
          <t>BOTKYRKA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45941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45941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45941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45941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45941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45941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45941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45941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45941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45941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45941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44586.57239583333</v>
      </c>
      <c r="C55" s="1" t="n">
        <v>45941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35197-2024</t>
        </is>
      </c>
      <c r="B56" s="1" t="n">
        <v>45530</v>
      </c>
      <c r="C56" s="1" t="n">
        <v>45941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45941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49175-2025</t>
        </is>
      </c>
      <c r="B58" s="1" t="n">
        <v>45938.3790162037</v>
      </c>
      <c r="C58" s="1" t="n">
        <v>45941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55200-2020</t>
        </is>
      </c>
      <c r="B59" s="1" t="n">
        <v>44130</v>
      </c>
      <c r="C59" s="1" t="n">
        <v>45941</v>
      </c>
      <c r="D59" t="inlineStr">
        <is>
          <t>STOCKHOLMS LÄN</t>
        </is>
      </c>
      <c r="E59" t="inlineStr">
        <is>
          <t>BOTKYRKA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45945-2025</t>
        </is>
      </c>
      <c r="B60" s="1" t="n">
        <v>45924</v>
      </c>
      <c r="C60" s="1" t="n">
        <v>45941</v>
      </c>
      <c r="D60" t="inlineStr">
        <is>
          <t>STOCKHOLMS LÄN</t>
        </is>
      </c>
      <c r="E60" t="inlineStr">
        <is>
          <t>BOTKYRKA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45941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3021-2025</t>
        </is>
      </c>
      <c r="B62" s="1" t="n">
        <v>45678.57962962963</v>
      </c>
      <c r="C62" s="1" t="n">
        <v>45941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58517-2020</t>
        </is>
      </c>
      <c r="B63" s="1" t="n">
        <v>44145</v>
      </c>
      <c r="C63" s="1" t="n">
        <v>45941</v>
      </c>
      <c r="D63" t="inlineStr">
        <is>
          <t>STOCKHOLMS LÄN</t>
        </is>
      </c>
      <c r="E63" t="inlineStr">
        <is>
          <t>BOTKYRKA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36097-2021</t>
        </is>
      </c>
      <c r="B64" s="1" t="n">
        <v>44389</v>
      </c>
      <c r="C64" s="1" t="n">
        <v>45941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45941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57809-2020</t>
        </is>
      </c>
      <c r="B66" s="1" t="n">
        <v>44141</v>
      </c>
      <c r="C66" s="1" t="n">
        <v>45941</v>
      </c>
      <c r="D66" t="inlineStr">
        <is>
          <t>STOCKHOLMS LÄN</t>
        </is>
      </c>
      <c r="E66" t="inlineStr">
        <is>
          <t>BOTKYRKA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45941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45941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45941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73194-2021</t>
        </is>
      </c>
      <c r="B70" s="1" t="n">
        <v>44550.61508101852</v>
      </c>
      <c r="C70" s="1" t="n">
        <v>45941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45941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61320-2024</t>
        </is>
      </c>
      <c r="B72" s="1" t="n">
        <v>45646.33262731481</v>
      </c>
      <c r="C72" s="1" t="n">
        <v>45941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45941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45941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14217-2025</t>
        </is>
      </c>
      <c r="B75" s="1" t="n">
        <v>45740.58534722222</v>
      </c>
      <c r="C75" s="1" t="n">
        <v>45941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61242-2022</t>
        </is>
      </c>
      <c r="B76" s="1" t="n">
        <v>44915</v>
      </c>
      <c r="C76" s="1" t="n">
        <v>45941</v>
      </c>
      <c r="D76" t="inlineStr">
        <is>
          <t>STOCKHOLMS LÄN</t>
        </is>
      </c>
      <c r="E76" t="inlineStr">
        <is>
          <t>BOTKYRKA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11876-2024</t>
        </is>
      </c>
      <c r="B77" s="1" t="n">
        <v>45376.47072916666</v>
      </c>
      <c r="C77" s="1" t="n">
        <v>45941</v>
      </c>
      <c r="D77" t="inlineStr">
        <is>
          <t>STOCKHOLMS LÄN</t>
        </is>
      </c>
      <c r="E77" t="inlineStr">
        <is>
          <t>BOTKYRKA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16142-2024</t>
        </is>
      </c>
      <c r="B78" s="1" t="n">
        <v>45406</v>
      </c>
      <c r="C78" s="1" t="n">
        <v>45941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2025-10-11T12:36:38Z</dcterms:created>
  <dcterms:modified xmlns:dcterms="http://purl.org/dc/terms/" xmlns:xsi="http://www.w3.org/2001/XMLSchema-instance" xsi:type="dcterms:W3CDTF">2025-10-11T12:36:38Z</dcterms:modified>
</cp:coreProperties>
</file>