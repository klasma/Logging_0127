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46199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46199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46199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46199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46199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46199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46199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46199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46199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Bårdlav
Grön sköldmossa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46199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Fjällig taggsvamp s.str.
Tallticka
Fläcknycklar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33015-2021</t>
        </is>
      </c>
      <c r="B15" s="1" t="n">
        <v>44376</v>
      </c>
      <c r="C15" s="1" t="n">
        <v>46199</v>
      </c>
      <c r="D15" t="inlineStr">
        <is>
          <t>STOCKHOLMS LÄN</t>
        </is>
      </c>
      <c r="E15" t="inlineStr">
        <is>
          <t>BOTKYRKA</t>
        </is>
      </c>
      <c r="G15" t="n">
        <v>48.7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HYPERLINK("https://klasma.github.io/Logging_0127/artfynd/A 33015-2021 artfynd.xlsx", "A 33015-2021")</f>
        <v/>
      </c>
      <c r="T15">
        <f>HYPERLINK("https://klasma.github.io/Logging_0127/kartor/A 33015-2021 karta.png", "A 33015-2021")</f>
        <v/>
      </c>
      <c r="V15">
        <f>HYPERLINK("https://klasma.github.io/Logging_0127/klagomål/A 33015-2021 FSC-klagomål.docx", "A 33015-2021")</f>
        <v/>
      </c>
      <c r="W15">
        <f>HYPERLINK("https://klasma.github.io/Logging_0127/klagomålsmail/A 33015-2021 FSC-klagomål mail.docx", "A 33015-2021")</f>
        <v/>
      </c>
      <c r="X15">
        <f>HYPERLINK("https://klasma.github.io/Logging_0127/tillsyn/A 33015-2021 tillsynsbegäran.docx", "A 33015-2021")</f>
        <v/>
      </c>
      <c r="Y15">
        <f>HYPERLINK("https://klasma.github.io/Logging_0127/tillsynsmail/A 33015-2021 tillsynsbegäran mail.docx", "A 33015-2021")</f>
        <v/>
      </c>
      <c r="Z15">
        <f>HYPERLINK("https://klasma.github.io/Logging_0127/fåglar/A 33015-2021 prioriterade fågelarter.docx", "A 33015-2021")</f>
        <v/>
      </c>
    </row>
    <row r="16" ht="15" customHeight="1">
      <c r="A16" t="inlineStr">
        <is>
          <t>A 60406-2025</t>
        </is>
      </c>
      <c r="B16" s="1" t="n">
        <v>45995</v>
      </c>
      <c r="C16" s="1" t="n">
        <v>46199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Mindre märgborre</t>
        </is>
      </c>
      <c r="S16">
        <f>HYPERLINK("https://klasma.github.io/Logging_0127/artfynd/A 60406-2025 artfynd.xlsx", "A 60406-2025")</f>
        <v/>
      </c>
      <c r="T16">
        <f>HYPERLINK("https://klasma.github.io/Logging_0127/kartor/A 60406-2025 karta.png", "A 60406-2025")</f>
        <v/>
      </c>
      <c r="V16">
        <f>HYPERLINK("https://klasma.github.io/Logging_0127/klagomål/A 60406-2025 FSC-klagomål.docx", "A 60406-2025")</f>
        <v/>
      </c>
      <c r="W16">
        <f>HYPERLINK("https://klasma.github.io/Logging_0127/klagomålsmail/A 60406-2025 FSC-klagomål mail.docx", "A 60406-2025")</f>
        <v/>
      </c>
      <c r="X16">
        <f>HYPERLINK("https://klasma.github.io/Logging_0127/tillsyn/A 60406-2025 tillsynsbegäran.docx", "A 60406-2025")</f>
        <v/>
      </c>
      <c r="Y16">
        <f>HYPERLINK("https://klasma.github.io/Logging_0127/tillsynsmail/A 60406-2025 tillsynsbegäran mail.docx", "A 60406-2025")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46199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46199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24799-2026</t>
        </is>
      </c>
      <c r="B19" s="1" t="n">
        <v>46171</v>
      </c>
      <c r="C19" s="1" t="n">
        <v>46199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Mindre märgborre
Spillkråka</t>
        </is>
      </c>
      <c r="S19">
        <f>HYPERLINK("https://klasma.github.io/Logging_0127/artfynd/A 24799-2026 artfynd.xlsx", "A 24799-2026")</f>
        <v/>
      </c>
      <c r="T19">
        <f>HYPERLINK("https://klasma.github.io/Logging_0127/kartor/A 24799-2026 karta.png", "A 24799-2026")</f>
        <v/>
      </c>
      <c r="V19">
        <f>HYPERLINK("https://klasma.github.io/Logging_0127/klagomål/A 24799-2026 FSC-klagomål.docx", "A 24799-2026")</f>
        <v/>
      </c>
      <c r="W19">
        <f>HYPERLINK("https://klasma.github.io/Logging_0127/klagomålsmail/A 24799-2026 FSC-klagomål mail.docx", "A 24799-2026")</f>
        <v/>
      </c>
      <c r="X19">
        <f>HYPERLINK("https://klasma.github.io/Logging_0127/tillsyn/A 24799-2026 tillsynsbegäran.docx", "A 24799-2026")</f>
        <v/>
      </c>
      <c r="Y19">
        <f>HYPERLINK("https://klasma.github.io/Logging_0127/tillsynsmail/A 24799-2026 tillsynsbegäran mail.docx", "A 24799-2026")</f>
        <v/>
      </c>
      <c r="Z19">
        <f>HYPERLINK("https://klasma.github.io/Logging_0127/fåglar/A 24799-2026 prioriterade fågelarter.docx", "A 24799-2026")</f>
        <v/>
      </c>
    </row>
    <row r="20" ht="15" customHeight="1">
      <c r="A20" t="inlineStr">
        <is>
          <t>A 25315-2026</t>
        </is>
      </c>
      <c r="B20" s="1" t="n">
        <v>46176</v>
      </c>
      <c r="C20" s="1" t="n">
        <v>46199</v>
      </c>
      <c r="D20" t="inlineStr">
        <is>
          <t>STOCKHOLMS LÄN</t>
        </is>
      </c>
      <c r="E20" t="inlineStr">
        <is>
          <t>BOTKYRKA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Spillkråka
Tofsmes</t>
        </is>
      </c>
      <c r="S20">
        <f>HYPERLINK("https://klasma.github.io/Logging_0127/artfynd/A 25315-2026 artfynd.xlsx", "A 25315-2026")</f>
        <v/>
      </c>
      <c r="T20">
        <f>HYPERLINK("https://klasma.github.io/Logging_0127/kartor/A 25315-2026 karta.png", "A 25315-2026")</f>
        <v/>
      </c>
      <c r="V20">
        <f>HYPERLINK("https://klasma.github.io/Logging_0127/klagomål/A 25315-2026 FSC-klagomål.docx", "A 25315-2026")</f>
        <v/>
      </c>
      <c r="W20">
        <f>HYPERLINK("https://klasma.github.io/Logging_0127/klagomålsmail/A 25315-2026 FSC-klagomål mail.docx", "A 25315-2026")</f>
        <v/>
      </c>
      <c r="X20">
        <f>HYPERLINK("https://klasma.github.io/Logging_0127/tillsyn/A 25315-2026 tillsynsbegäran.docx", "A 25315-2026")</f>
        <v/>
      </c>
      <c r="Y20">
        <f>HYPERLINK("https://klasma.github.io/Logging_0127/tillsynsmail/A 25315-2026 tillsynsbegäran mail.docx", "A 25315-2026")</f>
        <v/>
      </c>
      <c r="Z20">
        <f>HYPERLINK("https://klasma.github.io/Logging_0127/fåglar/A 25315-2026 prioriterade fågelarter.docx", "A 25315-2026")</f>
        <v/>
      </c>
    </row>
    <row r="21" ht="15" customHeight="1">
      <c r="A21" t="inlineStr">
        <is>
          <t>A 25319-2026</t>
        </is>
      </c>
      <c r="B21" s="1" t="n">
        <v>46176</v>
      </c>
      <c r="C21" s="1" t="n">
        <v>46199</v>
      </c>
      <c r="D21" t="inlineStr">
        <is>
          <t>STOCKHOLMS LÄN</t>
        </is>
      </c>
      <c r="E21" t="inlineStr">
        <is>
          <t>BOTKYRKA</t>
        </is>
      </c>
      <c r="G21" t="n">
        <v>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Grovticka
Spillkråka</t>
        </is>
      </c>
      <c r="S21">
        <f>HYPERLINK("https://klasma.github.io/Logging_0127/artfynd/A 25319-2026 artfynd.xlsx", "A 25319-2026")</f>
        <v/>
      </c>
      <c r="T21">
        <f>HYPERLINK("https://klasma.github.io/Logging_0127/kartor/A 25319-2026 karta.png", "A 25319-2026")</f>
        <v/>
      </c>
      <c r="V21">
        <f>HYPERLINK("https://klasma.github.io/Logging_0127/klagomål/A 25319-2026 FSC-klagomål.docx", "A 25319-2026")</f>
        <v/>
      </c>
      <c r="W21">
        <f>HYPERLINK("https://klasma.github.io/Logging_0127/klagomålsmail/A 25319-2026 FSC-klagomål mail.docx", "A 25319-2026")</f>
        <v/>
      </c>
      <c r="X21">
        <f>HYPERLINK("https://klasma.github.io/Logging_0127/tillsyn/A 25319-2026 tillsynsbegäran.docx", "A 25319-2026")</f>
        <v/>
      </c>
      <c r="Y21">
        <f>HYPERLINK("https://klasma.github.io/Logging_0127/tillsynsmail/A 25319-2026 tillsynsbegäran mail.docx", "A 25319-2026")</f>
        <v/>
      </c>
      <c r="Z21">
        <f>HYPERLINK("https://klasma.github.io/Logging_0127/fåglar/A 25319-2026 prioriterade fågelarter.docx", "A 25319-2026")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46199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46199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35492-2021</t>
        </is>
      </c>
      <c r="B24" s="1" t="n">
        <v>44385</v>
      </c>
      <c r="C24" s="1" t="n">
        <v>46199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HYPERLINK("https://klasma.github.io/Logging_0127/artfynd/A 35492-2021 artfynd.xlsx", "A 35492-2021")</f>
        <v/>
      </c>
      <c r="T24">
        <f>HYPERLINK("https://klasma.github.io/Logging_0127/kartor/A 35492-2021 karta.png", "A 35492-2021")</f>
        <v/>
      </c>
      <c r="V24">
        <f>HYPERLINK("https://klasma.github.io/Logging_0127/klagomål/A 35492-2021 FSC-klagomål.docx", "A 35492-2021")</f>
        <v/>
      </c>
      <c r="W24">
        <f>HYPERLINK("https://klasma.github.io/Logging_0127/klagomålsmail/A 35492-2021 FSC-klagomål mail.docx", "A 35492-2021")</f>
        <v/>
      </c>
      <c r="X24">
        <f>HYPERLINK("https://klasma.github.io/Logging_0127/tillsyn/A 35492-2021 tillsynsbegäran.docx", "A 35492-2021")</f>
        <v/>
      </c>
      <c r="Y24">
        <f>HYPERLINK("https://klasma.github.io/Logging_0127/tillsynsmail/A 35492-2021 tillsynsbegäran mail.docx", "A 35492-2021")</f>
        <v/>
      </c>
      <c r="Z24">
        <f>HYPERLINK("https://klasma.github.io/Logging_0127/fåglar/A 35492-2021 prioriterade fågelarter.docx", "A 35492-2021")</f>
        <v/>
      </c>
    </row>
    <row r="25" ht="15" customHeight="1">
      <c r="A25" t="inlineStr">
        <is>
          <t>A 28983-2024</t>
        </is>
      </c>
      <c r="B25" s="1" t="n">
        <v>45481</v>
      </c>
      <c r="C25" s="1" t="n">
        <v>46199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28983-2024 artfynd.xlsx", "A 28983-2024")</f>
        <v/>
      </c>
      <c r="T25">
        <f>HYPERLINK("https://klasma.github.io/Logging_0127/kartor/A 28983-2024 karta.png", "A 28983-2024")</f>
        <v/>
      </c>
      <c r="V25">
        <f>HYPERLINK("https://klasma.github.io/Logging_0127/klagomål/A 28983-2024 FSC-klagomål.docx", "A 28983-2024")</f>
        <v/>
      </c>
      <c r="W25">
        <f>HYPERLINK("https://klasma.github.io/Logging_0127/klagomålsmail/A 28983-2024 FSC-klagomål mail.docx", "A 28983-2024")</f>
        <v/>
      </c>
      <c r="X25">
        <f>HYPERLINK("https://klasma.github.io/Logging_0127/tillsyn/A 28983-2024 tillsynsbegäran.docx", "A 28983-2024")</f>
        <v/>
      </c>
      <c r="Y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46199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s="1" t="n">
        <v>44916</v>
      </c>
      <c r="C27" s="1" t="n">
        <v>46199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HYPERLINK("https://klasma.github.io/Logging_0127/artfynd/A 61514-2022 artfynd.xlsx", "A 61514-2022")</f>
        <v/>
      </c>
      <c r="T27">
        <f>HYPERLINK("https://klasma.github.io/Logging_0127/kartor/A 61514-2022 karta.png", "A 61514-2022")</f>
        <v/>
      </c>
      <c r="V27">
        <f>HYPERLINK("https://klasma.github.io/Logging_0127/klagomål/A 61514-2022 FSC-klagomål.docx", "A 61514-2022")</f>
        <v/>
      </c>
      <c r="W27">
        <f>HYPERLINK("https://klasma.github.io/Logging_0127/klagomålsmail/A 61514-2022 FSC-klagomål mail.docx", "A 61514-2022")</f>
        <v/>
      </c>
      <c r="X27">
        <f>HYPERLINK("https://klasma.github.io/Logging_0127/tillsyn/A 61514-2022 tillsynsbegäran.docx", "A 61514-2022")</f>
        <v/>
      </c>
      <c r="Y27">
        <f>HYPERLINK("https://klasma.github.io/Logging_0127/tillsynsmail/A 61514-2022 tillsynsbegäran mail.docx", "A 61514-2022")</f>
        <v/>
      </c>
    </row>
    <row r="28" ht="15" customHeight="1">
      <c r="A28" t="inlineStr">
        <is>
          <t>A 12305-2026</t>
        </is>
      </c>
      <c r="B28" s="1" t="n">
        <v>46087</v>
      </c>
      <c r="C28" s="1" t="n">
        <v>46199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HYPERLINK("https://klasma.github.io/Logging_0127/artfynd/A 12305-2026 artfynd.xlsx", "A 12305-2026")</f>
        <v/>
      </c>
      <c r="T28">
        <f>HYPERLINK("https://klasma.github.io/Logging_0127/kartor/A 12305-2026 karta.png", "A 12305-2026")</f>
        <v/>
      </c>
      <c r="V28">
        <f>HYPERLINK("https://klasma.github.io/Logging_0127/klagomål/A 12305-2026 FSC-klagomål.docx", "A 12305-2026")</f>
        <v/>
      </c>
      <c r="W28">
        <f>HYPERLINK("https://klasma.github.io/Logging_0127/klagomålsmail/A 12305-2026 FSC-klagomål mail.docx", "A 12305-2026")</f>
        <v/>
      </c>
      <c r="X28">
        <f>HYPERLINK("https://klasma.github.io/Logging_0127/tillsyn/A 12305-2026 tillsynsbegäran.docx", "A 12305-2026")</f>
        <v/>
      </c>
      <c r="Y28">
        <f>HYPERLINK("https://klasma.github.io/Logging_0127/tillsynsmail/A 12305-2026 tillsynsbegäran mail.docx", "A 12305-2026")</f>
        <v/>
      </c>
      <c r="Z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s="1" t="n">
        <v>46090</v>
      </c>
      <c r="C29" s="1" t="n">
        <v>46199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HYPERLINK("https://klasma.github.io/Logging_0127/artfynd/A 12590-2026 artfynd.xlsx", "A 12590-2026")</f>
        <v/>
      </c>
      <c r="T29">
        <f>HYPERLINK("https://klasma.github.io/Logging_0127/kartor/A 12590-2026 karta.png", "A 12590-2026")</f>
        <v/>
      </c>
      <c r="V29">
        <f>HYPERLINK("https://klasma.github.io/Logging_0127/klagomål/A 12590-2026 FSC-klagomål.docx", "A 12590-2026")</f>
        <v/>
      </c>
      <c r="W29">
        <f>HYPERLINK("https://klasma.github.io/Logging_0127/klagomålsmail/A 12590-2026 FSC-klagomål mail.docx", "A 12590-2026")</f>
        <v/>
      </c>
      <c r="X29">
        <f>HYPERLINK("https://klasma.github.io/Logging_0127/tillsyn/A 12590-2026 tillsynsbegäran.docx", "A 12590-2026")</f>
        <v/>
      </c>
      <c r="Y29">
        <f>HYPERLINK("https://klasma.github.io/Logging_0127/tillsynsmail/A 12590-2026 tillsynsbegäran mail.docx", "A 12590-2026")</f>
        <v/>
      </c>
      <c r="Z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s="1" t="n">
        <v>46092</v>
      </c>
      <c r="C30" s="1" t="n">
        <v>46199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HYPERLINK("https://klasma.github.io/Logging_0127/artfynd/A 12842-2026 artfynd.xlsx", "A 12842-2026")</f>
        <v/>
      </c>
      <c r="T30">
        <f>HYPERLINK("https://klasma.github.io/Logging_0127/kartor/A 12842-2026 karta.png", "A 12842-2026")</f>
        <v/>
      </c>
      <c r="V30">
        <f>HYPERLINK("https://klasma.github.io/Logging_0127/klagomål/A 12842-2026 FSC-klagomål.docx", "A 12842-2026")</f>
        <v/>
      </c>
      <c r="W30">
        <f>HYPERLINK("https://klasma.github.io/Logging_0127/klagomålsmail/A 12842-2026 FSC-klagomål mail.docx", "A 12842-2026")</f>
        <v/>
      </c>
      <c r="X30">
        <f>HYPERLINK("https://klasma.github.io/Logging_0127/tillsyn/A 12842-2026 tillsynsbegäran.docx", "A 12842-2026")</f>
        <v/>
      </c>
      <c r="Y30">
        <f>HYPERLINK("https://klasma.github.io/Logging_0127/tillsynsmail/A 12842-2026 tillsynsbegäran mail.docx", "A 12842-2026")</f>
        <v/>
      </c>
    </row>
    <row r="31" ht="15" customHeight="1">
      <c r="A31" t="inlineStr">
        <is>
          <t>A 14214-2025</t>
        </is>
      </c>
      <c r="B31" s="1" t="n">
        <v>45740</v>
      </c>
      <c r="C31" s="1" t="n">
        <v>46199</v>
      </c>
      <c r="D31" t="inlineStr">
        <is>
          <t>STOCKHOLMS LÄN</t>
        </is>
      </c>
      <c r="E31" t="inlineStr">
        <is>
          <t>BOTKYRKA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Stare</t>
        </is>
      </c>
      <c r="S31">
        <f>HYPERLINK("https://klasma.github.io/Logging_0127/artfynd/A 14214-2025 artfynd.xlsx", "A 14214-2025")</f>
        <v/>
      </c>
      <c r="T31">
        <f>HYPERLINK("https://klasma.github.io/Logging_0127/kartor/A 14214-2025 karta.png", "A 14214-2025")</f>
        <v/>
      </c>
      <c r="V31">
        <f>HYPERLINK("https://klasma.github.io/Logging_0127/klagomål/A 14214-2025 FSC-klagomål.docx", "A 14214-2025")</f>
        <v/>
      </c>
      <c r="W31">
        <f>HYPERLINK("https://klasma.github.io/Logging_0127/klagomålsmail/A 14214-2025 FSC-klagomål mail.docx", "A 14214-2025")</f>
        <v/>
      </c>
      <c r="X31">
        <f>HYPERLINK("https://klasma.github.io/Logging_0127/tillsyn/A 14214-2025 tillsynsbegäran.docx", "A 14214-2025")</f>
        <v/>
      </c>
      <c r="Y31">
        <f>HYPERLINK("https://klasma.github.io/Logging_0127/tillsynsmail/A 14214-2025 tillsynsbegäran mail.docx", "A 14214-2025")</f>
        <v/>
      </c>
      <c r="Z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s="1" t="n">
        <v>44938</v>
      </c>
      <c r="C32" s="1" t="n">
        <v>46199</v>
      </c>
      <c r="D32" t="inlineStr">
        <is>
          <t>STOCKHOLMS LÄN</t>
        </is>
      </c>
      <c r="E32" t="inlineStr">
        <is>
          <t>BOTKYRKA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HYPERLINK("https://klasma.github.io/Logging_0127/artfynd/A 1691-2023 artfynd.xlsx", "A 1691-2023")</f>
        <v/>
      </c>
      <c r="T32">
        <f>HYPERLINK("https://klasma.github.io/Logging_0127/kartor/A 1691-2023 karta.png", "A 1691-2023")</f>
        <v/>
      </c>
      <c r="V32">
        <f>HYPERLINK("https://klasma.github.io/Logging_0127/klagomål/A 1691-2023 FSC-klagomål.docx", "A 1691-2023")</f>
        <v/>
      </c>
      <c r="W32">
        <f>HYPERLINK("https://klasma.github.io/Logging_0127/klagomålsmail/A 1691-2023 FSC-klagomål mail.docx", "A 1691-2023")</f>
        <v/>
      </c>
      <c r="X32">
        <f>HYPERLINK("https://klasma.github.io/Logging_0127/tillsyn/A 1691-2023 tillsynsbegäran.docx", "A 1691-2023")</f>
        <v/>
      </c>
      <c r="Y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s="1" t="n">
        <v>44586</v>
      </c>
      <c r="C33" s="1" t="n">
        <v>46199</v>
      </c>
      <c r="D33" t="inlineStr">
        <is>
          <t>STOCKHOLMS LÄN</t>
        </is>
      </c>
      <c r="E33" t="inlineStr">
        <is>
          <t>BOTKYRKA</t>
        </is>
      </c>
      <c r="G33" t="n">
        <v>17.1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HYPERLINK("https://klasma.github.io/Logging_0127/artfynd/A 3726-2022 artfynd.xlsx", "A 3726-2022")</f>
        <v/>
      </c>
      <c r="T33">
        <f>HYPERLINK("https://klasma.github.io/Logging_0127/kartor/A 3726-2022 karta.png", "A 3726-2022")</f>
        <v/>
      </c>
      <c r="V33">
        <f>HYPERLINK("https://klasma.github.io/Logging_0127/klagomål/A 3726-2022 FSC-klagomål.docx", "A 3726-2022")</f>
        <v/>
      </c>
      <c r="W33">
        <f>HYPERLINK("https://klasma.github.io/Logging_0127/klagomålsmail/A 3726-2022 FSC-klagomål mail.docx", "A 3726-2022")</f>
        <v/>
      </c>
      <c r="X33">
        <f>HYPERLINK("https://klasma.github.io/Logging_0127/tillsyn/A 3726-2022 tillsynsbegäran.docx", "A 3726-2022")</f>
        <v/>
      </c>
      <c r="Y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s="1" t="n">
        <v>45020</v>
      </c>
      <c r="C34" s="1" t="n">
        <v>46199</v>
      </c>
      <c r="D34" t="inlineStr">
        <is>
          <t>STOCKHOLMS LÄN</t>
        </is>
      </c>
      <c r="E34" t="inlineStr">
        <is>
          <t>BOTKYRKA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Gullpudra</t>
        </is>
      </c>
      <c r="S34">
        <f>HYPERLINK("https://klasma.github.io/Logging_0127/artfynd/A 15690-2023 artfynd.xlsx", "A 15690-2023")</f>
        <v/>
      </c>
      <c r="T34">
        <f>HYPERLINK("https://klasma.github.io/Logging_0127/kartor/A 15690-2023 karta.png", "A 15690-2023")</f>
        <v/>
      </c>
      <c r="V34">
        <f>HYPERLINK("https://klasma.github.io/Logging_0127/klagomål/A 15690-2023 FSC-klagomål.docx", "A 15690-2023")</f>
        <v/>
      </c>
      <c r="W34">
        <f>HYPERLINK("https://klasma.github.io/Logging_0127/klagomålsmail/A 15690-2023 FSC-klagomål mail.docx", "A 15690-2023")</f>
        <v/>
      </c>
      <c r="X34">
        <f>HYPERLINK("https://klasma.github.io/Logging_0127/tillsyn/A 15690-2023 tillsynsbegäran.docx", "A 15690-2023")</f>
        <v/>
      </c>
      <c r="Y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46199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46199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46199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46199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52035-2021</t>
        </is>
      </c>
      <c r="B40" s="1" t="n">
        <v>44463</v>
      </c>
      <c r="C40" s="1" t="n">
        <v>46199</v>
      </c>
      <c r="D40" t="inlineStr">
        <is>
          <t>STOCKHOLMS LÄN</t>
        </is>
      </c>
      <c r="E40" t="inlineStr">
        <is>
          <t>BOTKYRKA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48647-2022</t>
        </is>
      </c>
      <c r="B41" s="1" t="n">
        <v>44859</v>
      </c>
      <c r="C41" s="1" t="n">
        <v>46199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48656-2022</t>
        </is>
      </c>
      <c r="B42" s="1" t="n">
        <v>44859</v>
      </c>
      <c r="C42" s="1" t="n">
        <v>46199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16145-2024</t>
        </is>
      </c>
      <c r="B43" s="1" t="n">
        <v>45406</v>
      </c>
      <c r="C43" s="1" t="n">
        <v>46199</v>
      </c>
      <c r="D43" t="inlineStr">
        <is>
          <t>STOCKHOLMS LÄN</t>
        </is>
      </c>
      <c r="E43" t="inlineStr">
        <is>
          <t>BOTKYRKA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11876-2024</t>
        </is>
      </c>
      <c r="B44" s="1" t="n">
        <v>45376</v>
      </c>
      <c r="C44" s="1" t="n">
        <v>46199</v>
      </c>
      <c r="D44" t="inlineStr">
        <is>
          <t>STOCKHOLMS LÄN</t>
        </is>
      </c>
      <c r="E44" t="inlineStr">
        <is>
          <t>BOTKYRKA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46199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16142-2024</t>
        </is>
      </c>
      <c r="B46" s="1" t="n">
        <v>45406</v>
      </c>
      <c r="C46" s="1" t="n">
        <v>46199</v>
      </c>
      <c r="D46" t="inlineStr">
        <is>
          <t>STOCKHOLMS LÄN</t>
        </is>
      </c>
      <c r="E46" t="inlineStr">
        <is>
          <t>BOTKYRKA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37095-2021</t>
        </is>
      </c>
      <c r="B47" s="1" t="n">
        <v>44395</v>
      </c>
      <c r="C47" s="1" t="n">
        <v>46199</v>
      </c>
      <c r="D47" t="inlineStr">
        <is>
          <t>STOCKHOLMS LÄN</t>
        </is>
      </c>
      <c r="E47" t="inlineStr">
        <is>
          <t>BOTKYRKA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38194-2022</t>
        </is>
      </c>
      <c r="B48" s="1" t="n">
        <v>44812</v>
      </c>
      <c r="C48" s="1" t="n">
        <v>46199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46199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46199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46199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</v>
      </c>
      <c r="C52" s="1" t="n">
        <v>46199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</v>
      </c>
      <c r="C53" s="1" t="n">
        <v>46199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</v>
      </c>
      <c r="C54" s="1" t="n">
        <v>46199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46199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</v>
      </c>
      <c r="C56" s="1" t="n">
        <v>46199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46199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23716-2026</t>
        </is>
      </c>
      <c r="B58" s="1" t="n">
        <v>46164</v>
      </c>
      <c r="C58" s="1" t="n">
        <v>46199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23718-2026</t>
        </is>
      </c>
      <c r="B59" s="1" t="n">
        <v>46164</v>
      </c>
      <c r="C59" s="1" t="n">
        <v>46199</v>
      </c>
      <c r="D59" t="inlineStr">
        <is>
          <t>STOCKHOLMS LÄN</t>
        </is>
      </c>
      <c r="E59" t="inlineStr">
        <is>
          <t>BOTKYRKA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23725-2026</t>
        </is>
      </c>
      <c r="B60" s="1" t="n">
        <v>46164</v>
      </c>
      <c r="C60" s="1" t="n">
        <v>46199</v>
      </c>
      <c r="D60" t="inlineStr">
        <is>
          <t>STOCKHOLMS LÄN</t>
        </is>
      </c>
      <c r="E60" t="inlineStr">
        <is>
          <t>BOTKYRKA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</v>
      </c>
      <c r="C61" s="1" t="n">
        <v>46199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46199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46199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46199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27717-2026</t>
        </is>
      </c>
      <c r="B65" s="1" t="n">
        <v>46190</v>
      </c>
      <c r="C65" s="1" t="n">
        <v>46199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46199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46199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</v>
      </c>
      <c r="C68" s="1" t="n">
        <v>46199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</v>
      </c>
      <c r="C69" s="1" t="n">
        <v>46199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22391-2026</t>
        </is>
      </c>
      <c r="B70" s="1" t="n">
        <v>46154</v>
      </c>
      <c r="C70" s="1" t="n">
        <v>46199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46199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46199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46199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16483-2023</t>
        </is>
      </c>
      <c r="B74" s="1" t="n">
        <v>45029</v>
      </c>
      <c r="C74" s="1" t="n">
        <v>46199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46199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46199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46199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</v>
      </c>
      <c r="C78" s="1" t="n">
        <v>46199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46199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2026-06-26T00:48:00Z</dcterms:created>
  <dcterms:modified xmlns:dcterms="http://purl.org/dc/terms/" xmlns:xsi="http://www.w3.org/2001/XMLSchema-instance" xsi:type="dcterms:W3CDTF">2026-06-26T00:48:00Z</dcterms:modified>
</cp:coreProperties>
</file>