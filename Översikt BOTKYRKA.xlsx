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25306-2026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46316</v>
      </c>
      <c r="F2" t="inlineStr">
        <is>
          <t>STOCKHOLMS LÄN</t>
        </is>
      </c>
      <c r="G2" t="inlineStr">
        <is>
          <t>BOTKYRKA</t>
        </is>
      </c>
      <c r="I2" t="n">
        <v>3.2</v>
      </c>
      <c r="J2" t="n">
        <v>7</v>
      </c>
      <c r="K2" t="n">
        <v>2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13</v>
      </c>
      <c r="T2" t="n">
        <v>25</v>
      </c>
      <c r="U2" t="n">
        <v>25</v>
      </c>
      <c r="V2" s="2" t="inlineStr">
        <is>
          <t>Stare
Grönsångare
Gulsparv
Rödvingetrast
Slåtterfibbla
Tallticka
Blåmossa
Mindre märgborre
Kransmossa
Liljekonvalj
Spillkråka
Tofsmes
Gröngöling</t>
        </is>
      </c>
      <c r="W2">
        <f>HYPERLINK("https://klasma.github.io/Logging_0127/artfynd/A 25306-2026 artfynd.xlsx", "A 25306-2026")</f>
        <v/>
      </c>
      <c r="X2">
        <f>HYPERLINK("https://klasma.github.io/Logging_0127/kartor/A 25306-2026 karta.png", "A 25306-2026")</f>
        <v/>
      </c>
      <c r="Y2">
        <f>HYPERLINK("https://klasma.github.io/Logging_0127/kartor_geotiff/A 25306-2026 georefererad karta.tif", "A 25306-2026")</f>
        <v/>
      </c>
      <c r="AA2">
        <f>HYPERLINK("https://klasma.github.io/Logging_0127/klagomål/A 25306-2026 FSC-klagomål.docx", "A 25306-2026")</f>
        <v/>
      </c>
      <c r="AB2">
        <f>HYPERLINK("https://klasma.github.io/Logging_0127/klagomålsmail/A 25306-2026 FSC-klagomål mail.docx", "A 25306-2026")</f>
        <v/>
      </c>
      <c r="AC2">
        <f>HYPERLINK("https://klasma.github.io/Logging_0127/tillsyn/A 25306-2026 tillsynsbegäran.docx", "A 25306-2026")</f>
        <v/>
      </c>
      <c r="AD2">
        <f>HYPERLINK("https://klasma.github.io/Logging_0127/tillsynsmail/A 25306-2026 tillsynsbegäran mail.docx", "A 25306-2026")</f>
        <v/>
      </c>
      <c r="AE2">
        <f>HYPERLINK("https://klasma.github.io/Logging_0127/fåglar/A 25306-2026 prioriterade fågelarter.docx", "A 25306-2026")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46316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46316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46316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46316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46316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46316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46316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46316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46316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46316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A 24799-2026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46171</v>
      </c>
      <c r="E13" s="1" t="n">
        <v>46316</v>
      </c>
      <c r="F13" t="inlineStr">
        <is>
          <t>STOCKHOLMS LÄN</t>
        </is>
      </c>
      <c r="G13" t="inlineStr">
        <is>
          <t>BOTKYRKA</t>
        </is>
      </c>
      <c r="I13" t="n">
        <v>1.7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Gulsparv
Mindre märgborre
Spillkråka
Tofsmes</t>
        </is>
      </c>
      <c r="W13">
        <f>HYPERLINK("https://klasma.github.io/Logging_0127/artfynd/A 24799-2026 artfynd.xlsx", "A 24799-2026")</f>
        <v/>
      </c>
      <c r="X13">
        <f>HYPERLINK("https://klasma.github.io/Logging_0127/kartor/A 24799-2026 karta.png", "A 24799-2026")</f>
        <v/>
      </c>
      <c r="Y13">
        <f>HYPERLINK("https://klasma.github.io/Logging_0127/kartor_geotiff/A 24799-2026 georefererad karta.tif", "A 24799-2026")</f>
        <v/>
      </c>
      <c r="AA13">
        <f>HYPERLINK("https://klasma.github.io/Logging_0127/klagomål/A 24799-2026 FSC-klagomål.docx", "A 24799-2026")</f>
        <v/>
      </c>
      <c r="AB13">
        <f>HYPERLINK("https://klasma.github.io/Logging_0127/klagomålsmail/A 24799-2026 FSC-klagomål mail.docx", "A 24799-2026")</f>
        <v/>
      </c>
      <c r="AC13">
        <f>HYPERLINK("https://klasma.github.io/Logging_0127/tillsyn/A 24799-2026 tillsynsbegäran.docx", "A 24799-2026")</f>
        <v/>
      </c>
      <c r="AD13">
        <f>HYPERLINK("https://klasma.github.io/Logging_0127/tillsynsmail/A 24799-2026 tillsynsbegäran mail.docx", "A 24799-2026")</f>
        <v/>
      </c>
      <c r="AE13">
        <f>HYPERLINK("https://klasma.github.io/Logging_0127/fåglar/A 24799-2026 prioriterade fågelarter.docx", "A 24799-2026")</f>
        <v/>
      </c>
    </row>
    <row r="14" ht="15" customHeight="1">
      <c r="A14" t="inlineStr">
        <is>
          <t>S 1038-2025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45748</v>
      </c>
      <c r="E14" s="1" t="n">
        <v>46316</v>
      </c>
      <c r="F14" t="inlineStr">
        <is>
          <t>STOCKHOLMS LÄN</t>
        </is>
      </c>
      <c r="G14" t="inlineStr">
        <is>
          <t>BOTKYRKA</t>
        </is>
      </c>
      <c r="I14" t="n">
        <v>0.5</v>
      </c>
      <c r="J14" t="n">
        <v>1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7</v>
      </c>
      <c r="U14" t="n">
        <v>0</v>
      </c>
      <c r="V14" s="2" t="inlineStr">
        <is>
          <t>Koppartaggsvamp
Orange taggsvamp
Tallticka
Spillkråka</t>
        </is>
      </c>
      <c r="W14">
        <f>HYPERLINK("https://klasma.github.io/Logging_0127/artfynd/S 1038-2025 artfynd.xlsx", "S 1038-2025")</f>
        <v/>
      </c>
      <c r="X14">
        <f>HYPERLINK("https://klasma.github.io/Logging_0127/kartor/S 1038-2025 karta.png", "S 1038-2025")</f>
        <v/>
      </c>
      <c r="Y14">
        <f>HYPERLINK("https://klasma.github.io/Logging_0127/kartor_geotiff/S 1038-2025 georefererad karta.tif", "S 1038-2025")</f>
        <v/>
      </c>
      <c r="AA14">
        <f>HYPERLINK("https://klasma.github.io/Logging_0127/klagomål/S 1038-2025 FSC-klagomål.docx", "S 1038-2025")</f>
        <v/>
      </c>
      <c r="AB14">
        <f>HYPERLINK("https://klasma.github.io/Logging_0127/klagomålsmail/S 1038-2025 FSC-klagomål mail.docx", "S 1038-2025")</f>
        <v/>
      </c>
      <c r="AC14">
        <f>HYPERLINK("https://klasma.github.io/Logging_0127/tillsyn/S 1038-2025 tillsynsbegäran.docx", "S 1038-2025")</f>
        <v/>
      </c>
      <c r="AD14">
        <f>HYPERLINK("https://klasma.github.io/Logging_0127/tillsynsmail/S 1038-2025 tillsynsbegäran mail.docx", "S 1038-2025")</f>
        <v/>
      </c>
      <c r="AE14">
        <f>HYPERLINK("https://klasma.github.io/Logging_0127/fåglar/S 1038-2025 prioriterade fågelarter.docx", "S 1038-2025")</f>
        <v/>
      </c>
    </row>
    <row r="15" ht="15" customHeight="1">
      <c r="A15" t="inlineStr">
        <is>
          <t>A 1697-2023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44938</v>
      </c>
      <c r="E15" s="1" t="n">
        <v>46316</v>
      </c>
      <c r="F15" t="inlineStr">
        <is>
          <t>STOCKHOLMS LÄN</t>
        </is>
      </c>
      <c r="G15" t="inlineStr">
        <is>
          <t>BOTKYRKA</t>
        </is>
      </c>
      <c r="I15" t="n">
        <v>1.1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Lunglav
Bårdlav
Grön sköldmossa</t>
        </is>
      </c>
      <c r="W15">
        <f>HYPERLINK("https://klasma.github.io/Logging_0127/artfynd/A 1697-2023 artfynd.xlsx", "A 1697-2023")</f>
        <v/>
      </c>
      <c r="X15">
        <f>HYPERLINK("https://klasma.github.io/Logging_0127/kartor/A 1697-2023 karta.png", "A 1697-2023")</f>
        <v/>
      </c>
      <c r="Y15">
        <f>HYPERLINK("https://klasma.github.io/Logging_0127/kartor_geotiff/A 1697-2023 georefererad karta.tif", "A 1697-2023")</f>
        <v/>
      </c>
      <c r="AA15">
        <f>HYPERLINK("https://klasma.github.io/Logging_0127/klagomål/A 1697-2023 FSC-klagomål.docx", "A 1697-2023")</f>
        <v/>
      </c>
      <c r="AB15">
        <f>HYPERLINK("https://klasma.github.io/Logging_0127/klagomålsmail/A 1697-2023 FSC-klagomål mail.docx", "A 1697-2023")</f>
        <v/>
      </c>
      <c r="AC15">
        <f>HYPERLINK("https://klasma.github.io/Logging_0127/tillsyn/A 1697-2023 tillsynsbegäran.docx", "A 1697-2023")</f>
        <v/>
      </c>
      <c r="AD15">
        <f>HYPERLINK("https://klasma.github.io/Logging_0127/tillsynsmail/A 1697-2023 tillsynsbegäran mail.docx", "A 1697-2023")</f>
        <v/>
      </c>
    </row>
    <row r="16" ht="15" customHeight="1">
      <c r="A16" t="inlineStr">
        <is>
          <t>A 23829-2023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46316</v>
      </c>
      <c r="F16" t="inlineStr">
        <is>
          <t>STOCKHOLMS LÄN</t>
        </is>
      </c>
      <c r="G16" t="inlineStr">
        <is>
          <t>BOTKYRKA</t>
        </is>
      </c>
      <c r="H16" t="inlineStr">
        <is>
          <t>Kommuner</t>
        </is>
      </c>
      <c r="I16" t="n">
        <v>3.7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Fjällig taggsvamp s.str.
Tallticka
Fläcknycklar</t>
        </is>
      </c>
      <c r="W16">
        <f>HYPERLINK("https://klasma.github.io/Logging_0127/artfynd/A 23829-2023 artfynd.xlsx", "A 23829-2023")</f>
        <v/>
      </c>
      <c r="X16">
        <f>HYPERLINK("https://klasma.github.io/Logging_0127/kartor/A 23829-2023 karta.png", "A 23829-2023")</f>
        <v/>
      </c>
      <c r="Y16">
        <f>HYPERLINK("https://klasma.github.io/Logging_0127/kartor_geotiff/A 23829-2023 georefererad karta.tif", "A 23829-2023")</f>
        <v/>
      </c>
      <c r="AA16">
        <f>HYPERLINK("https://klasma.github.io/Logging_0127/klagomål/A 23829-2023 FSC-klagomål.docx", "A 23829-2023")</f>
        <v/>
      </c>
      <c r="AB16">
        <f>HYPERLINK("https://klasma.github.io/Logging_0127/klagomålsmail/A 23829-2023 FSC-klagomål mail.docx", "A 23829-2023")</f>
        <v/>
      </c>
      <c r="AC16">
        <f>HYPERLINK("https://klasma.github.io/Logging_0127/tillsyn/A 23829-2023 tillsynsbegäran.docx", "A 23829-2023")</f>
        <v/>
      </c>
      <c r="AD16">
        <f>HYPERLINK("https://klasma.github.io/Logging_0127/tillsynsmail/A 23829-2023 tillsynsbegäran mail.docx", "A 23829-2023")</f>
        <v/>
      </c>
    </row>
    <row r="17" ht="15" customHeight="1">
      <c r="A17" t="inlineStr">
        <is>
          <t>A 25319-2026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46176</v>
      </c>
      <c r="E17" s="1" t="n">
        <v>46316</v>
      </c>
      <c r="F17" t="inlineStr">
        <is>
          <t>STOCKHOLMS LÄN</t>
        </is>
      </c>
      <c r="G17" t="inlineStr">
        <is>
          <t>BOTKYRKA</t>
        </is>
      </c>
      <c r="I17" t="n">
        <v>1.6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Grovticka
Spillkråka
Tofsmes</t>
        </is>
      </c>
      <c r="W17">
        <f>HYPERLINK("https://klasma.github.io/Logging_0127/artfynd/A 25319-2026 artfynd.xlsx", "A 25319-2026")</f>
        <v/>
      </c>
      <c r="X17">
        <f>HYPERLINK("https://klasma.github.io/Logging_0127/kartor/A 25319-2026 karta.png", "A 25319-2026")</f>
        <v/>
      </c>
      <c r="Y17">
        <f>HYPERLINK("https://klasma.github.io/Logging_0127/kartor_geotiff/A 25319-2026 georefererad karta.tif", "A 25319-2026")</f>
        <v/>
      </c>
      <c r="AA17">
        <f>HYPERLINK("https://klasma.github.io/Logging_0127/klagomål/A 25319-2026 FSC-klagomål.docx", "A 25319-2026")</f>
        <v/>
      </c>
      <c r="AB17">
        <f>HYPERLINK("https://klasma.github.io/Logging_0127/klagomålsmail/A 25319-2026 FSC-klagomål mail.docx", "A 25319-2026")</f>
        <v/>
      </c>
      <c r="AC17">
        <f>HYPERLINK("https://klasma.github.io/Logging_0127/tillsyn/A 25319-2026 tillsynsbegäran.docx", "A 25319-2026")</f>
        <v/>
      </c>
      <c r="AD17">
        <f>HYPERLINK("https://klasma.github.io/Logging_0127/tillsynsmail/A 25319-2026 tillsynsbegäran mail.docx", "A 25319-2026")</f>
        <v/>
      </c>
      <c r="AE17">
        <f>HYPERLINK("https://klasma.github.io/Logging_0127/fåglar/A 25319-2026 prioriterade fågelarter.docx", "A 25319-2026")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46316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46316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46316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46316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46316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15690-2023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45020</v>
      </c>
      <c r="E23" s="1" t="n">
        <v>46316</v>
      </c>
      <c r="F23" t="inlineStr">
        <is>
          <t>STOCKHOLMS LÄN</t>
        </is>
      </c>
      <c r="G23" t="inlineStr">
        <is>
          <t>BOTKYRKA</t>
        </is>
      </c>
      <c r="I23" t="n">
        <v>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HYPERLINK("https://klasma.github.io/Logging_0127/artfynd/A 15690-2023 artfynd.xlsx", "A 15690-2023")</f>
        <v/>
      </c>
      <c r="X23">
        <f>HYPERLINK("https://klasma.github.io/Logging_0127/kartor/A 15690-2023 karta.png", "A 15690-2023")</f>
        <v/>
      </c>
      <c r="Y23">
        <f>HYPERLINK("https://klasma.github.io/Logging_0127/kartor_geotiff/A 15690-2023 georefererad karta.tif", "A 15690-2023")</f>
        <v/>
      </c>
      <c r="AA23">
        <f>HYPERLINK("https://klasma.github.io/Logging_0127/klagomål/A 15690-2023 FSC-klagomål.docx", "A 15690-2023")</f>
        <v/>
      </c>
      <c r="AB23">
        <f>HYPERLINK("https://klasma.github.io/Logging_0127/klagomålsmail/A 15690-2023 FSC-klagomål mail.docx", "A 15690-2023")</f>
        <v/>
      </c>
      <c r="AC23">
        <f>HYPERLINK("https://klasma.github.io/Logging_0127/tillsyn/A 15690-2023 tillsynsbegäran.docx", "A 15690-2023")</f>
        <v/>
      </c>
      <c r="AD23">
        <f>HYPERLINK("https://klasma.github.io/Logging_0127/tillsynsmail/A 15690-2023 tillsynsbegäran mail.docx", "A 15690-2023")</f>
        <v/>
      </c>
    </row>
    <row r="24" ht="15" customHeight="1">
      <c r="A24" t="inlineStr">
        <is>
          <t>A 14214-2025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46316</v>
      </c>
      <c r="F24" t="inlineStr">
        <is>
          <t>STOCKHOLMS LÄN</t>
        </is>
      </c>
      <c r="G24" t="inlineStr">
        <is>
          <t>BOTKYRKA</t>
        </is>
      </c>
      <c r="I24" t="n">
        <v>2.5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Stare</t>
        </is>
      </c>
      <c r="W24">
        <f>HYPERLINK("https://klasma.github.io/Logging_0127/artfynd/A 14214-2025 artfynd.xlsx", "A 14214-2025")</f>
        <v/>
      </c>
      <c r="X24">
        <f>HYPERLINK("https://klasma.github.io/Logging_0127/kartor/A 14214-2025 karta.png", "A 14214-2025")</f>
        <v/>
      </c>
      <c r="Y24">
        <f>HYPERLINK("https://klasma.github.io/Logging_0127/kartor_geotiff/A 14214-2025 georefererad karta.tif", "A 14214-2025")</f>
        <v/>
      </c>
      <c r="AA24">
        <f>HYPERLINK("https://klasma.github.io/Logging_0127/klagomål/A 14214-2025 FSC-klagomål.docx", "A 14214-2025")</f>
        <v/>
      </c>
      <c r="AB24">
        <f>HYPERLINK("https://klasma.github.io/Logging_0127/klagomålsmail/A 14214-2025 FSC-klagomål mail.docx", "A 14214-2025")</f>
        <v/>
      </c>
      <c r="AC24">
        <f>HYPERLINK("https://klasma.github.io/Logging_0127/tillsyn/A 14214-2025 tillsynsbegäran.docx", "A 14214-2025")</f>
        <v/>
      </c>
      <c r="AD24">
        <f>HYPERLINK("https://klasma.github.io/Logging_0127/tillsynsmail/A 14214-2025 tillsynsbegäran mail.docx", "A 14214-2025")</f>
        <v/>
      </c>
      <c r="AE24">
        <f>HYPERLINK("https://klasma.github.io/Logging_0127/fåglar/A 14214-2025 prioriterade fågelarter.docx", "A 14214-2025")</f>
        <v/>
      </c>
    </row>
    <row r="25" ht="15" customHeight="1">
      <c r="A25" t="inlineStr">
        <is>
          <t>A 12305-2026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46087</v>
      </c>
      <c r="E25" s="1" t="n">
        <v>46316</v>
      </c>
      <c r="F25" t="inlineStr">
        <is>
          <t>STOCKHOLMS LÄN</t>
        </is>
      </c>
      <c r="G25" t="inlineStr">
        <is>
          <t>BOTKYRKA</t>
        </is>
      </c>
      <c r="H25" t="inlineStr">
        <is>
          <t>Övriga Aktiebolag</t>
        </is>
      </c>
      <c r="I25" t="n">
        <v>2.4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HYPERLINK("https://klasma.github.io/Logging_0127/artfynd/A 12305-2026 artfynd.xlsx", "A 12305-2026")</f>
        <v/>
      </c>
      <c r="X25">
        <f>HYPERLINK("https://klasma.github.io/Logging_0127/kartor/A 12305-2026 karta.png", "A 12305-2026")</f>
        <v/>
      </c>
      <c r="Y25">
        <f>HYPERLINK("https://klasma.github.io/Logging_0127/kartor_geotiff/A 12305-2026 georefererad karta.tif", "A 12305-2026")</f>
        <v/>
      </c>
      <c r="AA25">
        <f>HYPERLINK("https://klasma.github.io/Logging_0127/klagomål/A 12305-2026 FSC-klagomål.docx", "A 12305-2026")</f>
        <v/>
      </c>
      <c r="AB25">
        <f>HYPERLINK("https://klasma.github.io/Logging_0127/klagomålsmail/A 12305-2026 FSC-klagomål mail.docx", "A 12305-2026")</f>
        <v/>
      </c>
      <c r="AC25">
        <f>HYPERLINK("https://klasma.github.io/Logging_0127/tillsyn/A 12305-2026 tillsynsbegäran.docx", "A 12305-2026")</f>
        <v/>
      </c>
      <c r="AD25">
        <f>HYPERLINK("https://klasma.github.io/Logging_0127/tillsynsmail/A 12305-2026 tillsynsbegäran mail.docx", "A 12305-2026")</f>
        <v/>
      </c>
      <c r="AE25">
        <f>HYPERLINK("https://klasma.github.io/Logging_0127/fåglar/A 12305-2026 prioriterade fågelarter.docx", "A 12305-2026")</f>
        <v/>
      </c>
    </row>
    <row r="26" ht="15" customHeight="1">
      <c r="A26" t="inlineStr">
        <is>
          <t>A 12590-2026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46090</v>
      </c>
      <c r="E26" s="1" t="n">
        <v>46316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hackspett</t>
        </is>
      </c>
      <c r="W26">
        <f>HYPERLINK("https://klasma.github.io/Logging_0127/artfynd/A 12590-2026 artfynd.xlsx", "A 12590-2026")</f>
        <v/>
      </c>
      <c r="X26">
        <f>HYPERLINK("https://klasma.github.io/Logging_0127/kartor/A 12590-2026 karta.png", "A 12590-2026")</f>
        <v/>
      </c>
      <c r="Y26">
        <f>HYPERLINK("https://klasma.github.io/Logging_0127/kartor_geotiff/A 12590-2026 georefererad karta.tif", "A 12590-2026")</f>
        <v/>
      </c>
      <c r="AA26">
        <f>HYPERLINK("https://klasma.github.io/Logging_0127/klagomål/A 12590-2026 FSC-klagomål.docx", "A 12590-2026")</f>
        <v/>
      </c>
      <c r="AB26">
        <f>HYPERLINK("https://klasma.github.io/Logging_0127/klagomålsmail/A 12590-2026 FSC-klagomål mail.docx", "A 12590-2026")</f>
        <v/>
      </c>
      <c r="AC26">
        <f>HYPERLINK("https://klasma.github.io/Logging_0127/tillsyn/A 12590-2026 tillsynsbegäran.docx", "A 12590-2026")</f>
        <v/>
      </c>
      <c r="AD26">
        <f>HYPERLINK("https://klasma.github.io/Logging_0127/tillsynsmail/A 12590-2026 tillsynsbegäran mail.docx", "A 12590-2026")</f>
        <v/>
      </c>
      <c r="AE26">
        <f>HYPERLINK("https://klasma.github.io/Logging_0127/fåglar/A 12590-2026 prioriterade fågelarter.docx", "A 12590-2026")</f>
        <v/>
      </c>
    </row>
    <row r="27" ht="15" customHeight="1">
      <c r="A27" t="inlineStr">
        <is>
          <t>A 12842-2026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46092</v>
      </c>
      <c r="E27" s="1" t="n">
        <v>46316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Fyrflikig jordstjärna</t>
        </is>
      </c>
      <c r="W27">
        <f>HYPERLINK("https://klasma.github.io/Logging_0127/artfynd/A 12842-2026 artfynd.xlsx", "A 12842-2026")</f>
        <v/>
      </c>
      <c r="X27">
        <f>HYPERLINK("https://klasma.github.io/Logging_0127/kartor/A 12842-2026 karta.png", "A 12842-2026")</f>
        <v/>
      </c>
      <c r="Y27">
        <f>HYPERLINK("https://klasma.github.io/Logging_0127/kartor_geotiff/A 12842-2026 georefererad karta.tif", "A 12842-2026")</f>
        <v/>
      </c>
      <c r="AA27">
        <f>HYPERLINK("https://klasma.github.io/Logging_0127/klagomål/A 12842-2026 FSC-klagomål.docx", "A 12842-2026")</f>
        <v/>
      </c>
      <c r="AB27">
        <f>HYPERLINK("https://klasma.github.io/Logging_0127/klagomålsmail/A 12842-2026 FSC-klagomål mail.docx", "A 12842-2026")</f>
        <v/>
      </c>
      <c r="AC27">
        <f>HYPERLINK("https://klasma.github.io/Logging_0127/tillsyn/A 12842-2026 tillsynsbegäran.docx", "A 12842-2026")</f>
        <v/>
      </c>
      <c r="AD27">
        <f>HYPERLINK("https://klasma.github.io/Logging_0127/tillsynsmail/A 12842-2026 tillsynsbegäran mail.docx", "A 12842-2026")</f>
        <v/>
      </c>
    </row>
    <row r="28" ht="15" customHeight="1">
      <c r="A28" t="inlineStr">
        <is>
          <t>A 3726-2022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46316</v>
      </c>
      <c r="F28" t="inlineStr">
        <is>
          <t>STOCKHOLMS LÄN</t>
        </is>
      </c>
      <c r="G28" t="inlineStr">
        <is>
          <t>BOTKYRKA</t>
        </is>
      </c>
      <c r="I28" t="n">
        <v>17.1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Blomkålssvamp</t>
        </is>
      </c>
      <c r="W28">
        <f>HYPERLINK("https://klasma.github.io/Logging_0127/artfynd/A 3726-2022 artfynd.xlsx", "A 3726-2022")</f>
        <v/>
      </c>
      <c r="X28">
        <f>HYPERLINK("https://klasma.github.io/Logging_0127/kartor/A 3726-2022 karta.png", "A 3726-2022")</f>
        <v/>
      </c>
      <c r="Y28">
        <f>HYPERLINK("https://klasma.github.io/Logging_0127/kartor_geotiff/A 3726-2022 georefererad karta.tif", "A 3726-2022")</f>
        <v/>
      </c>
      <c r="AA28">
        <f>HYPERLINK("https://klasma.github.io/Logging_0127/klagomål/A 3726-2022 FSC-klagomål.docx", "A 3726-2022")</f>
        <v/>
      </c>
      <c r="AB28">
        <f>HYPERLINK("https://klasma.github.io/Logging_0127/klagomålsmail/A 3726-2022 FSC-klagomål mail.docx", "A 3726-2022")</f>
        <v/>
      </c>
      <c r="AC28">
        <f>HYPERLINK("https://klasma.github.io/Logging_0127/tillsyn/A 3726-2022 tillsynsbegäran.docx", "A 3726-2022")</f>
        <v/>
      </c>
      <c r="AD28">
        <f>HYPERLINK("https://klasma.github.io/Logging_0127/tillsynsmail/A 3726-2022 tillsynsbegäran mail.docx", "A 3726-2022")</f>
        <v/>
      </c>
    </row>
    <row r="29" ht="15" customHeight="1">
      <c r="A29" t="inlineStr">
        <is>
          <t>A 28983-2024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45481</v>
      </c>
      <c r="E29" s="1" t="n">
        <v>46316</v>
      </c>
      <c r="F29" t="inlineStr">
        <is>
          <t>STOCKHOLMS LÄN</t>
        </is>
      </c>
      <c r="G29" t="inlineStr">
        <is>
          <t>BOTKYRKA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HYPERLINK("https://klasma.github.io/Logging_0127/artfynd/A 28983-2024 artfynd.xlsx", "A 28983-2024")</f>
        <v/>
      </c>
      <c r="X29">
        <f>HYPERLINK("https://klasma.github.io/Logging_0127/kartor/A 28983-2024 karta.png", "A 28983-2024")</f>
        <v/>
      </c>
      <c r="Y29">
        <f>HYPERLINK("https://klasma.github.io/Logging_0127/kartor_geotiff/A 28983-2024 georefererad karta.tif", "A 28983-2024")</f>
        <v/>
      </c>
      <c r="AA29">
        <f>HYPERLINK("https://klasma.github.io/Logging_0127/klagomål/A 28983-2024 FSC-klagomål.docx", "A 28983-2024")</f>
        <v/>
      </c>
      <c r="AB29">
        <f>HYPERLINK("https://klasma.github.io/Logging_0127/klagomålsmail/A 28983-2024 FSC-klagomål mail.docx", "A 28983-2024")</f>
        <v/>
      </c>
      <c r="AC29">
        <f>HYPERLINK("https://klasma.github.io/Logging_0127/tillsyn/A 28983-2024 tillsynsbegäran.docx", "A 28983-2024")</f>
        <v/>
      </c>
      <c r="AD29">
        <f>HYPERLINK("https://klasma.github.io/Logging_0127/tillsynsmail/A 28983-2024 tillsynsbegäran mail.docx", "A 28983-2024")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46316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61514-2022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44916</v>
      </c>
      <c r="E31" s="1" t="n">
        <v>46316</v>
      </c>
      <c r="F31" t="inlineStr">
        <is>
          <t>STOCKHOLMS LÄN</t>
        </is>
      </c>
      <c r="G31" t="inlineStr">
        <is>
          <t>BOTKYRKA</t>
        </is>
      </c>
      <c r="I31" t="n">
        <v>1.3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Vanlig groda</t>
        </is>
      </c>
      <c r="W31">
        <f>HYPERLINK("https://klasma.github.io/Logging_0127/artfynd/A 61514-2022 artfynd.xlsx", "A 61514-2022")</f>
        <v/>
      </c>
      <c r="X31">
        <f>HYPERLINK("https://klasma.github.io/Logging_0127/kartor/A 61514-2022 karta.png", "A 61514-2022")</f>
        <v/>
      </c>
      <c r="Y31">
        <f>HYPERLINK("https://klasma.github.io/Logging_0127/kartor_geotiff/A 61514-2022 georefererad karta.tif", "A 61514-2022")</f>
        <v/>
      </c>
      <c r="AA31">
        <f>HYPERLINK("https://klasma.github.io/Logging_0127/klagomål/A 61514-2022 FSC-klagomål.docx", "A 61514-2022")</f>
        <v/>
      </c>
      <c r="AB31">
        <f>HYPERLINK("https://klasma.github.io/Logging_0127/klagomålsmail/A 61514-2022 FSC-klagomål mail.docx", "A 61514-2022")</f>
        <v/>
      </c>
      <c r="AC31">
        <f>HYPERLINK("https://klasma.github.io/Logging_0127/tillsyn/A 61514-2022 tillsynsbegäran.docx", "A 61514-2022")</f>
        <v/>
      </c>
      <c r="AD31">
        <f>HYPERLINK("https://klasma.github.io/Logging_0127/tillsynsmail/A 61514-2022 tillsynsbegäran mail.docx", "A 61514-2022")</f>
        <v/>
      </c>
    </row>
    <row r="32" ht="15" customHeight="1">
      <c r="A32" t="inlineStr">
        <is>
          <t>A 3681-2022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46316</v>
      </c>
      <c r="F32" t="inlineStr">
        <is>
          <t>STOCKHOLMS LÄN</t>
        </is>
      </c>
      <c r="G32" t="inlineStr">
        <is>
          <t>BOTKYRKA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46316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46316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73772-2021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46316</v>
      </c>
      <c r="F35" t="inlineStr">
        <is>
          <t>STOCKHOLMS LÄN</t>
        </is>
      </c>
      <c r="G35" t="inlineStr">
        <is>
          <t>BOTKYRKA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46316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46316</v>
      </c>
      <c r="F37" t="inlineStr">
        <is>
          <t>STOCKHOLMS LÄN</t>
        </is>
      </c>
      <c r="G37" t="inlineStr">
        <is>
          <t>BOTKYRKA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21285-2023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46316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30925-2023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46316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45740</v>
      </c>
      <c r="E40" s="1" t="n">
        <v>46316</v>
      </c>
      <c r="F40" t="inlineStr">
        <is>
          <t>STOCKHOLMS LÄN</t>
        </is>
      </c>
      <c r="G40" t="inlineStr">
        <is>
          <t>BOTKYRKA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73194-2021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44550</v>
      </c>
      <c r="E41" s="1" t="n">
        <v>46316</v>
      </c>
      <c r="F41" t="inlineStr">
        <is>
          <t>STOCKHOLMS LÄN</t>
        </is>
      </c>
      <c r="G41" t="inlineStr">
        <is>
          <t>BOTKYRKA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16483-2023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45029</v>
      </c>
      <c r="E42" s="1" t="n">
        <v>46316</v>
      </c>
      <c r="F42" t="inlineStr">
        <is>
          <t>STOCKHOLMS LÄN</t>
        </is>
      </c>
      <c r="G42" t="inlineStr">
        <is>
          <t>BOTKYRKA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46087</v>
      </c>
      <c r="E43" s="1" t="n">
        <v>46316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46087</v>
      </c>
      <c r="E44" s="1" t="n">
        <v>46316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54468-2025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45965</v>
      </c>
      <c r="E45" s="1" t="n">
        <v>46316</v>
      </c>
      <c r="F45" t="inlineStr">
        <is>
          <t>STOCKHOLMS LÄN</t>
        </is>
      </c>
      <c r="G45" t="inlineStr">
        <is>
          <t>BOTKYRKA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46405-2022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46316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46316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8528-2024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45355</v>
      </c>
      <c r="E48" s="1" t="n">
        <v>46316</v>
      </c>
      <c r="F48" t="inlineStr">
        <is>
          <t>STOCKHOLMS LÄN</t>
        </is>
      </c>
      <c r="G48" t="inlineStr">
        <is>
          <t>BOTKYRKA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45869-2022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46316</v>
      </c>
      <c r="F49" t="inlineStr">
        <is>
          <t>STOCKHOLMS LÄN</t>
        </is>
      </c>
      <c r="G49" t="inlineStr">
        <is>
          <t>BOTKYRKA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44586</v>
      </c>
      <c r="E50" s="1" t="n">
        <v>46316</v>
      </c>
      <c r="F50" t="inlineStr">
        <is>
          <t>STOCKHOLMS LÄN</t>
        </is>
      </c>
      <c r="G50" t="inlineStr">
        <is>
          <t>BOTKYRKA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15692-2023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45020</v>
      </c>
      <c r="E51" s="1" t="n">
        <v>46316</v>
      </c>
      <c r="F51" t="inlineStr">
        <is>
          <t>STOCKHOLMS LÄN</t>
        </is>
      </c>
      <c r="G51" t="inlineStr">
        <is>
          <t>BOTKYRKA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73151-2021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46316</v>
      </c>
      <c r="F52" t="inlineStr">
        <is>
          <t>STOCKHOLMS LÄN</t>
        </is>
      </c>
      <c r="G52" t="inlineStr">
        <is>
          <t>BOTKYRKA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22391-2026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46316</v>
      </c>
      <c r="F53" t="inlineStr">
        <is>
          <t>STOCKHOLMS LÄN</t>
        </is>
      </c>
      <c r="G53" t="inlineStr">
        <is>
          <t>BOTKYRKA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46316</v>
      </c>
      <c r="F54" t="inlineStr">
        <is>
          <t>STOCKHOLMS LÄN</t>
        </is>
      </c>
      <c r="G54" t="inlineStr">
        <is>
          <t>BOTKYRKA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46316</v>
      </c>
      <c r="F55" t="inlineStr">
        <is>
          <t>STOCKHOLMS LÄN</t>
        </is>
      </c>
      <c r="G55" t="inlineStr">
        <is>
          <t>BOTKYRKA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46316</v>
      </c>
      <c r="F56" t="inlineStr">
        <is>
          <t>STOCKHOLMS LÄN</t>
        </is>
      </c>
      <c r="G56" t="inlineStr">
        <is>
          <t>BOTKYRKA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23718-2026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46164</v>
      </c>
      <c r="E57" s="1" t="n">
        <v>46316</v>
      </c>
      <c r="F57" t="inlineStr">
        <is>
          <t>STOCKHOLMS LÄN</t>
        </is>
      </c>
      <c r="G57" t="inlineStr">
        <is>
          <t>BOTKYRKA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73155-2021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44550</v>
      </c>
      <c r="E58" s="1" t="n">
        <v>46316</v>
      </c>
      <c r="F58" t="inlineStr">
        <is>
          <t>STOCKHOLMS LÄN</t>
        </is>
      </c>
      <c r="G58" t="inlineStr">
        <is>
          <t>BOTKYRKA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27717-2026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46190</v>
      </c>
      <c r="E59" s="1" t="n">
        <v>46316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46316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38194-2022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44812</v>
      </c>
      <c r="E61" s="1" t="n">
        <v>46316</v>
      </c>
      <c r="F61" t="inlineStr">
        <is>
          <t>STOCKHOLMS LÄN</t>
        </is>
      </c>
      <c r="G61" t="inlineStr">
        <is>
          <t>BOTKYRKA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11867-2024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45376</v>
      </c>
      <c r="E62" s="1" t="n">
        <v>46316</v>
      </c>
      <c r="F62" t="inlineStr">
        <is>
          <t>STOCKHOLMS LÄN</t>
        </is>
      </c>
      <c r="G62" t="inlineStr">
        <is>
          <t>BOTKYRKA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46316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30622-2024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45495</v>
      </c>
      <c r="E64" s="1" t="n">
        <v>46316</v>
      </c>
      <c r="F64" t="inlineStr">
        <is>
          <t>STOCKHOLMS LÄN</t>
        </is>
      </c>
      <c r="G64" t="inlineStr">
        <is>
          <t>BOTKYRKA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46258</v>
      </c>
      <c r="E65" s="1" t="n">
        <v>46316</v>
      </c>
      <c r="F65" t="inlineStr">
        <is>
          <t>STOCKHOLMS LÄN</t>
        </is>
      </c>
      <c r="G65" t="inlineStr">
        <is>
          <t>BOTKYRKA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16145-2024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46316</v>
      </c>
      <c r="F66" t="inlineStr">
        <is>
          <t>STOCKHOLMS LÄN</t>
        </is>
      </c>
      <c r="G66" t="inlineStr">
        <is>
          <t>BOTKYRKA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45678</v>
      </c>
      <c r="E67" s="1" t="n">
        <v>46316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6059-2022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44599</v>
      </c>
      <c r="E68" s="1" t="n">
        <v>46316</v>
      </c>
      <c r="F68" t="inlineStr">
        <is>
          <t>STOCKHOLMS LÄN</t>
        </is>
      </c>
      <c r="G68" t="inlineStr">
        <is>
          <t>BOTKYRKA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46316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45376</v>
      </c>
      <c r="E70" s="1" t="n">
        <v>46316</v>
      </c>
      <c r="F70" t="inlineStr">
        <is>
          <t>STOCKHOLMS LÄN</t>
        </is>
      </c>
      <c r="G70" t="inlineStr">
        <is>
          <t>BOTKYRKA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380-2026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46065</v>
      </c>
      <c r="E71" s="1" t="n">
        <v>46316</v>
      </c>
      <c r="F71" t="inlineStr">
        <is>
          <t>STOCKHOLMS LÄN</t>
        </is>
      </c>
      <c r="G71" t="inlineStr">
        <is>
          <t>BOTKYRKA</t>
        </is>
      </c>
      <c r="H71" t="inlineStr">
        <is>
          <t>Kommuner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2026-10-21T02:04:14Z</dcterms:created>
  <dcterms:modified xmlns:dcterms="http://purl.org/dc/terms/" xmlns:xsi="http://www.w3.org/2001/XMLSchema-instance" xsi:type="dcterms:W3CDTF">2026-10-21T02:04:14Z</dcterms:modified>
</cp:coreProperties>
</file>