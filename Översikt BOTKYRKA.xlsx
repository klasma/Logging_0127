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45635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45635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45635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45635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45635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45635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45635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45635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45635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48266-2024</t>
        </is>
      </c>
      <c r="B11" s="1" t="n">
        <v>45590</v>
      </c>
      <c r="C11" s="1" t="n">
        <v>45635</v>
      </c>
      <c r="D11" t="inlineStr">
        <is>
          <t>STOCKHOLMS LÄN</t>
        </is>
      </c>
      <c r="E11" t="inlineStr">
        <is>
          <t>BOTKYRKA</t>
        </is>
      </c>
      <c r="G11" t="n">
        <v>1.6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Brandtaggsvamp
Fyrflikig jordstjärna</t>
        </is>
      </c>
      <c r="S11">
        <f>HYPERLINK("https://klasma.github.io/Logging_0127/artfynd/A 48266-2024 artfynd.xlsx", "A 48266-2024")</f>
        <v/>
      </c>
      <c r="T11">
        <f>HYPERLINK("https://klasma.github.io/Logging_0127/kartor/A 48266-2024 karta.png", "A 48266-2024")</f>
        <v/>
      </c>
      <c r="V11">
        <f>HYPERLINK("https://klasma.github.io/Logging_0127/klagomål/A 48266-2024 FSC-klagomål.docx", "A 48266-2024")</f>
        <v/>
      </c>
      <c r="W11">
        <f>HYPERLINK("https://klasma.github.io/Logging_0127/klagomålsmail/A 48266-2024 FSC-klagomål mail.docx", "A 48266-2024")</f>
        <v/>
      </c>
      <c r="X11">
        <f>HYPERLINK("https://klasma.github.io/Logging_0127/tillsyn/A 48266-2024 tillsynsbegäran.docx", "A 48266-2024")</f>
        <v/>
      </c>
      <c r="Y11">
        <f>HYPERLINK("https://klasma.github.io/Logging_0127/tillsynsmail/A 48266-2024 tillsynsbegäran mail.docx", "A 48266-2024")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45635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16236-2020</t>
        </is>
      </c>
      <c r="B13" s="1" t="n">
        <v>43917</v>
      </c>
      <c r="C13" s="1" t="n">
        <v>45635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HYPERLINK("https://klasma.github.io/Logging_0127/artfynd/A 16236-2020 artfynd.xlsx", "A 16236-2020")</f>
        <v/>
      </c>
      <c r="T13">
        <f>HYPERLINK("https://klasma.github.io/Logging_0127/kartor/A 16236-2020 karta.png", "A 16236-2020")</f>
        <v/>
      </c>
      <c r="V13">
        <f>HYPERLINK("https://klasma.github.io/Logging_0127/klagomål/A 16236-2020 FSC-klagomål.docx", "A 16236-2020")</f>
        <v/>
      </c>
      <c r="W13">
        <f>HYPERLINK("https://klasma.github.io/Logging_0127/klagomålsmail/A 16236-2020 FSC-klagomål mail.docx", "A 16236-2020")</f>
        <v/>
      </c>
      <c r="X13">
        <f>HYPERLINK("https://klasma.github.io/Logging_0127/tillsyn/A 16236-2020 tillsynsbegäran.docx", "A 16236-2020")</f>
        <v/>
      </c>
      <c r="Y13">
        <f>HYPERLINK("https://klasma.github.io/Logging_0127/tillsynsmail/A 16236-2020 tillsynsbegäran mail.docx", "A 16236-2020")</f>
        <v/>
      </c>
    </row>
    <row r="14" ht="15" customHeight="1">
      <c r="A14" t="inlineStr">
        <is>
          <t>A 34971-2020</t>
        </is>
      </c>
      <c r="B14" s="1" t="n">
        <v>44039</v>
      </c>
      <c r="C14" s="1" t="n">
        <v>45635</v>
      </c>
      <c r="D14" t="inlineStr">
        <is>
          <t>STOCKHOLMS LÄN</t>
        </is>
      </c>
      <c r="E14" t="inlineStr">
        <is>
          <t>BOTKYRKA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34971-2020 artfynd.xlsx", "A 34971-2020")</f>
        <v/>
      </c>
      <c r="T14">
        <f>HYPERLINK("https://klasma.github.io/Logging_0127/kartor/A 34971-2020 karta.png", "A 34971-2020")</f>
        <v/>
      </c>
      <c r="V14">
        <f>HYPERLINK("https://klasma.github.io/Logging_0127/klagomål/A 34971-2020 FSC-klagomål.docx", "A 34971-2020")</f>
        <v/>
      </c>
      <c r="W14">
        <f>HYPERLINK("https://klasma.github.io/Logging_0127/klagomålsmail/A 34971-2020 FSC-klagomål mail.docx", "A 34971-2020")</f>
        <v/>
      </c>
      <c r="X14">
        <f>HYPERLINK("https://klasma.github.io/Logging_0127/tillsyn/A 34971-2020 tillsynsbegäran.docx", "A 34971-2020")</f>
        <v/>
      </c>
      <c r="Y14">
        <f>HYPERLINK("https://klasma.github.io/Logging_0127/tillsynsmail/A 34971-2020 tillsynsbegäran mail.docx", "A 34971-2020")</f>
        <v/>
      </c>
    </row>
    <row r="15" ht="15" customHeight="1">
      <c r="A15" t="inlineStr">
        <is>
          <t>A 10469-2022</t>
        </is>
      </c>
      <c r="B15" s="1" t="n">
        <v>44623</v>
      </c>
      <c r="C15" s="1" t="n">
        <v>45635</v>
      </c>
      <c r="D15" t="inlineStr">
        <is>
          <t>STOCKHOLMS LÄN</t>
        </is>
      </c>
      <c r="E15" t="inlineStr">
        <is>
          <t>BOTKYRKA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10469-2022 artfynd.xlsx", "A 10469-2022")</f>
        <v/>
      </c>
      <c r="T15">
        <f>HYPERLINK("https://klasma.github.io/Logging_0127/kartor/A 10469-2022 karta.png", "A 10469-2022")</f>
        <v/>
      </c>
      <c r="V15">
        <f>HYPERLINK("https://klasma.github.io/Logging_0127/klagomål/A 10469-2022 FSC-klagomål.docx", "A 10469-2022")</f>
        <v/>
      </c>
      <c r="W15">
        <f>HYPERLINK("https://klasma.github.io/Logging_0127/klagomålsmail/A 10469-2022 FSC-klagomål mail.docx", "A 10469-2022")</f>
        <v/>
      </c>
      <c r="X15">
        <f>HYPERLINK("https://klasma.github.io/Logging_0127/tillsyn/A 10469-2022 tillsynsbegäran.docx", "A 10469-2022")</f>
        <v/>
      </c>
      <c r="Y15">
        <f>HYPERLINK("https://klasma.github.io/Logging_0127/tillsynsmail/A 10469-2022 tillsynsbegäran mail.docx", "A 10469-2022")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45635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45635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5574-2023</t>
        </is>
      </c>
      <c r="B18" s="1" t="n">
        <v>44960</v>
      </c>
      <c r="C18" s="1" t="n">
        <v>45635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5574-2023 artfynd.xlsx", "A 5574-2023")</f>
        <v/>
      </c>
      <c r="T18">
        <f>HYPERLINK("https://klasma.github.io/Logging_0127/kartor/A 5574-2023 karta.png", "A 5574-2023")</f>
        <v/>
      </c>
      <c r="V18">
        <f>HYPERLINK("https://klasma.github.io/Logging_0127/klagomål/A 5574-2023 FSC-klagomål.docx", "A 5574-2023")</f>
        <v/>
      </c>
      <c r="W18">
        <f>HYPERLINK("https://klasma.github.io/Logging_0127/klagomålsmail/A 5574-2023 FSC-klagomål mail.docx", "A 5574-2023")</f>
        <v/>
      </c>
      <c r="X18">
        <f>HYPERLINK("https://klasma.github.io/Logging_0127/tillsyn/A 5574-2023 tillsynsbegäran.docx", "A 5574-2023")</f>
        <v/>
      </c>
      <c r="Y18">
        <f>HYPERLINK("https://klasma.github.io/Logging_0127/tillsynsmail/A 5574-2023 tillsynsbegäran mail.docx", "A 5574-2023")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45635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40642-2019</t>
        </is>
      </c>
      <c r="B20" s="1" t="n">
        <v>43696</v>
      </c>
      <c r="C20" s="1" t="n">
        <v>45635</v>
      </c>
      <c r="D20" t="inlineStr">
        <is>
          <t>STOCKHOLMS LÄN</t>
        </is>
      </c>
      <c r="E20" t="inlineStr">
        <is>
          <t>BOTKYRKA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40641-2019</t>
        </is>
      </c>
      <c r="B21" s="1" t="n">
        <v>43696</v>
      </c>
      <c r="C21" s="1" t="n">
        <v>45635</v>
      </c>
      <c r="D21" t="inlineStr">
        <is>
          <t>STOCKHOLMS LÄN</t>
        </is>
      </c>
      <c r="E21" t="inlineStr">
        <is>
          <t>BOTKYRKA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42448-2019</t>
        </is>
      </c>
      <c r="B22" s="1" t="n">
        <v>43704</v>
      </c>
      <c r="C22" s="1" t="n">
        <v>45635</v>
      </c>
      <c r="D22" t="inlineStr">
        <is>
          <t>STOCKHOLMS LÄN</t>
        </is>
      </c>
      <c r="E22" t="inlineStr">
        <is>
          <t>BOTKYRKA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51387-2019</t>
        </is>
      </c>
      <c r="B23" s="1" t="n">
        <v>43740</v>
      </c>
      <c r="C23" s="1" t="n">
        <v>45635</v>
      </c>
      <c r="D23" t="inlineStr">
        <is>
          <t>STOCKHOLMS LÄN</t>
        </is>
      </c>
      <c r="E23" t="inlineStr">
        <is>
          <t>BOTKYRKA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2554-2020</t>
        </is>
      </c>
      <c r="B24" s="1" t="n">
        <v>43847</v>
      </c>
      <c r="C24" s="1" t="n">
        <v>45635</v>
      </c>
      <c r="D24" t="inlineStr">
        <is>
          <t>STOCKHOLMS LÄN</t>
        </is>
      </c>
      <c r="E24" t="inlineStr">
        <is>
          <t>BOTKYRKA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10790-2020</t>
        </is>
      </c>
      <c r="B25" s="1" t="n">
        <v>43888</v>
      </c>
      <c r="C25" s="1" t="n">
        <v>45635</v>
      </c>
      <c r="D25" t="inlineStr">
        <is>
          <t>STOCKHOLMS LÄN</t>
        </is>
      </c>
      <c r="E25" t="inlineStr">
        <is>
          <t>BOTKYRKA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10807-2020</t>
        </is>
      </c>
      <c r="B26" s="1" t="n">
        <v>43888</v>
      </c>
      <c r="C26" s="1" t="n">
        <v>45635</v>
      </c>
      <c r="D26" t="inlineStr">
        <is>
          <t>STOCKHOLMS LÄN</t>
        </is>
      </c>
      <c r="E26" t="inlineStr">
        <is>
          <t>BOTKYRKA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12321-2020</t>
        </is>
      </c>
      <c r="B27" s="1" t="n">
        <v>43895</v>
      </c>
      <c r="C27" s="1" t="n">
        <v>45635</v>
      </c>
      <c r="D27" t="inlineStr">
        <is>
          <t>STOCKHOLMS LÄN</t>
        </is>
      </c>
      <c r="E27" t="inlineStr">
        <is>
          <t>BOTKYRKA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12320-2020</t>
        </is>
      </c>
      <c r="B28" s="1" t="n">
        <v>43895</v>
      </c>
      <c r="C28" s="1" t="n">
        <v>45635</v>
      </c>
      <c r="D28" t="inlineStr">
        <is>
          <t>STOCKHOLMS LÄN</t>
        </is>
      </c>
      <c r="E28" t="inlineStr">
        <is>
          <t>BOTKYRKA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12988-2020</t>
        </is>
      </c>
      <c r="B29" s="1" t="n">
        <v>43900</v>
      </c>
      <c r="C29" s="1" t="n">
        <v>45635</v>
      </c>
      <c r="D29" t="inlineStr">
        <is>
          <t>STOCKHOLMS LÄN</t>
        </is>
      </c>
      <c r="E29" t="inlineStr">
        <is>
          <t>BOTKYRKA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16048-2020</t>
        </is>
      </c>
      <c r="B30" s="1" t="n">
        <v>43916</v>
      </c>
      <c r="C30" s="1" t="n">
        <v>45635</v>
      </c>
      <c r="D30" t="inlineStr">
        <is>
          <t>STOCKHOLMS LÄN</t>
        </is>
      </c>
      <c r="E30" t="inlineStr">
        <is>
          <t>BOTKYRKA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21645-2020</t>
        </is>
      </c>
      <c r="B31" s="1" t="n">
        <v>43956</v>
      </c>
      <c r="C31" s="1" t="n">
        <v>45635</v>
      </c>
      <c r="D31" t="inlineStr">
        <is>
          <t>STOCKHOLMS LÄN</t>
        </is>
      </c>
      <c r="E31" t="inlineStr">
        <is>
          <t>BOTKYRKA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23426-2020</t>
        </is>
      </c>
      <c r="B32" s="1" t="n">
        <v>43969</v>
      </c>
      <c r="C32" s="1" t="n">
        <v>45635</v>
      </c>
      <c r="D32" t="inlineStr">
        <is>
          <t>STOCKHOLMS LÄN</t>
        </is>
      </c>
      <c r="E32" t="inlineStr">
        <is>
          <t>BOTKYRKA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33881-2020</t>
        </is>
      </c>
      <c r="B33" s="1" t="n">
        <v>44025</v>
      </c>
      <c r="C33" s="1" t="n">
        <v>45635</v>
      </c>
      <c r="D33" t="inlineStr">
        <is>
          <t>STOCKHOLMS LÄN</t>
        </is>
      </c>
      <c r="E33" t="inlineStr">
        <is>
          <t>BOTKYRKA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39531-2020</t>
        </is>
      </c>
      <c r="B34" s="1" t="n">
        <v>44064</v>
      </c>
      <c r="C34" s="1" t="n">
        <v>45635</v>
      </c>
      <c r="D34" t="inlineStr">
        <is>
          <t>STOCKHOLMS LÄN</t>
        </is>
      </c>
      <c r="E34" t="inlineStr">
        <is>
          <t>BOTKYRKA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54002-2020</t>
        </is>
      </c>
      <c r="B35" s="1" t="n">
        <v>44125</v>
      </c>
      <c r="C35" s="1" t="n">
        <v>45635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53979-2020</t>
        </is>
      </c>
      <c r="B36" s="1" t="n">
        <v>44125</v>
      </c>
      <c r="C36" s="1" t="n">
        <v>45635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55200-2020</t>
        </is>
      </c>
      <c r="B37" s="1" t="n">
        <v>44130</v>
      </c>
      <c r="C37" s="1" t="n">
        <v>45635</v>
      </c>
      <c r="D37" t="inlineStr">
        <is>
          <t>STOCKHOLMS LÄN</t>
        </is>
      </c>
      <c r="E37" t="inlineStr">
        <is>
          <t>BOTKYRKA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57809-2020</t>
        </is>
      </c>
      <c r="B38" s="1" t="n">
        <v>44141</v>
      </c>
      <c r="C38" s="1" t="n">
        <v>45635</v>
      </c>
      <c r="D38" t="inlineStr">
        <is>
          <t>STOCKHOLMS LÄN</t>
        </is>
      </c>
      <c r="E38" t="inlineStr">
        <is>
          <t>BOTKYRKA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58517-2020</t>
        </is>
      </c>
      <c r="B39" s="1" t="n">
        <v>44145</v>
      </c>
      <c r="C39" s="1" t="n">
        <v>45635</v>
      </c>
      <c r="D39" t="inlineStr">
        <is>
          <t>STOCKHOLMS LÄN</t>
        </is>
      </c>
      <c r="E39" t="inlineStr">
        <is>
          <t>BOTKYRKA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58531-2020</t>
        </is>
      </c>
      <c r="B40" s="1" t="n">
        <v>44145</v>
      </c>
      <c r="C40" s="1" t="n">
        <v>45635</v>
      </c>
      <c r="D40" t="inlineStr">
        <is>
          <t>STOCKHOLMS LÄN</t>
        </is>
      </c>
      <c r="E40" t="inlineStr">
        <is>
          <t>BOTKYRKA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177-2021</t>
        </is>
      </c>
      <c r="B41" s="1" t="n">
        <v>44200</v>
      </c>
      <c r="C41" s="1" t="n">
        <v>45635</v>
      </c>
      <c r="D41" t="inlineStr">
        <is>
          <t>STOCKHOLMS LÄN</t>
        </is>
      </c>
      <c r="E41" t="inlineStr">
        <is>
          <t>BOTKYRKA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4281-2021</t>
        </is>
      </c>
      <c r="B42" s="1" t="n">
        <v>44223</v>
      </c>
      <c r="C42" s="1" t="n">
        <v>45635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10808-2021</t>
        </is>
      </c>
      <c r="B43" s="1" t="n">
        <v>44259</v>
      </c>
      <c r="C43" s="1" t="n">
        <v>45635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10817-2021</t>
        </is>
      </c>
      <c r="B44" s="1" t="n">
        <v>44259</v>
      </c>
      <c r="C44" s="1" t="n">
        <v>45635</v>
      </c>
      <c r="D44" t="inlineStr">
        <is>
          <t>STOCKHOLMS LÄN</t>
        </is>
      </c>
      <c r="E44" t="inlineStr">
        <is>
          <t>BOTKYRKA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10815-2021</t>
        </is>
      </c>
      <c r="B45" s="1" t="n">
        <v>44259</v>
      </c>
      <c r="C45" s="1" t="n">
        <v>45635</v>
      </c>
      <c r="D45" t="inlineStr">
        <is>
          <t>STOCKHOLMS LÄN</t>
        </is>
      </c>
      <c r="E45" t="inlineStr">
        <is>
          <t>BOTKYRKA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20210-2021</t>
        </is>
      </c>
      <c r="B46" s="1" t="n">
        <v>44314</v>
      </c>
      <c r="C46" s="1" t="n">
        <v>45635</v>
      </c>
      <c r="D46" t="inlineStr">
        <is>
          <t>STOCKHOLMS LÄN</t>
        </is>
      </c>
      <c r="E46" t="inlineStr">
        <is>
          <t>BOTKYRKA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27791-2021</t>
        </is>
      </c>
      <c r="B47" s="1" t="n">
        <v>44354</v>
      </c>
      <c r="C47" s="1" t="n">
        <v>45635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33016-2021</t>
        </is>
      </c>
      <c r="B48" s="1" t="n">
        <v>44376</v>
      </c>
      <c r="C48" s="1" t="n">
        <v>45635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33015-2021</t>
        </is>
      </c>
      <c r="B49" s="1" t="n">
        <v>44376</v>
      </c>
      <c r="C49" s="1" t="n">
        <v>45635</v>
      </c>
      <c r="D49" t="inlineStr">
        <is>
          <t>STOCKHOLMS LÄN</t>
        </is>
      </c>
      <c r="E49" t="inlineStr">
        <is>
          <t>BOTKYRKA</t>
        </is>
      </c>
      <c r="G49" t="n">
        <v>48.7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35492-2021</t>
        </is>
      </c>
      <c r="B50" s="1" t="n">
        <v>44385</v>
      </c>
      <c r="C50" s="1" t="n">
        <v>45635</v>
      </c>
      <c r="D50" t="inlineStr">
        <is>
          <t>STOCKHOLMS LÄN</t>
        </is>
      </c>
      <c r="E50" t="inlineStr">
        <is>
          <t>BOTKYRKA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36097-2021</t>
        </is>
      </c>
      <c r="B51" s="1" t="n">
        <v>44389</v>
      </c>
      <c r="C51" s="1" t="n">
        <v>45635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37095-2021</t>
        </is>
      </c>
      <c r="B52" s="1" t="n">
        <v>44395</v>
      </c>
      <c r="C52" s="1" t="n">
        <v>45635</v>
      </c>
      <c r="D52" t="inlineStr">
        <is>
          <t>STOCKHOLMS LÄN</t>
        </is>
      </c>
      <c r="E52" t="inlineStr">
        <is>
          <t>BOTKYRKA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43717-2021</t>
        </is>
      </c>
      <c r="B53" s="1" t="n">
        <v>44433</v>
      </c>
      <c r="C53" s="1" t="n">
        <v>45635</v>
      </c>
      <c r="D53" t="inlineStr">
        <is>
          <t>STOCKHOLMS LÄN</t>
        </is>
      </c>
      <c r="E53" t="inlineStr">
        <is>
          <t>BOTKYRKA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52035-2021</t>
        </is>
      </c>
      <c r="B54" s="1" t="n">
        <v>44463</v>
      </c>
      <c r="C54" s="1" t="n">
        <v>45635</v>
      </c>
      <c r="D54" t="inlineStr">
        <is>
          <t>STOCKHOLMS LÄN</t>
        </is>
      </c>
      <c r="E54" t="inlineStr">
        <is>
          <t>BOTKYRKA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56816-2021</t>
        </is>
      </c>
      <c r="B55" s="1" t="n">
        <v>44481</v>
      </c>
      <c r="C55" s="1" t="n">
        <v>45635</v>
      </c>
      <c r="D55" t="inlineStr">
        <is>
          <t>STOCKHOLMS LÄN</t>
        </is>
      </c>
      <c r="E55" t="inlineStr">
        <is>
          <t>BOTKYRKA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</v>
      </c>
      <c r="C56" s="1" t="n">
        <v>45635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45635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</v>
      </c>
      <c r="C58" s="1" t="n">
        <v>45635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73772-2021</t>
        </is>
      </c>
      <c r="B59" s="1" t="n">
        <v>44552</v>
      </c>
      <c r="C59" s="1" t="n">
        <v>45635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3681-2022</t>
        </is>
      </c>
      <c r="B60" s="1" t="n">
        <v>44586</v>
      </c>
      <c r="C60" s="1" t="n">
        <v>45635</v>
      </c>
      <c r="D60" t="inlineStr">
        <is>
          <t>STOCKHOLMS LÄN</t>
        </is>
      </c>
      <c r="E60" t="inlineStr">
        <is>
          <t>BOTKYRKA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3686-2022</t>
        </is>
      </c>
      <c r="B61" s="1" t="n">
        <v>44586</v>
      </c>
      <c r="C61" s="1" t="n">
        <v>45635</v>
      </c>
      <c r="D61" t="inlineStr">
        <is>
          <t>STOCKHOLMS LÄN</t>
        </is>
      </c>
      <c r="E61" t="inlineStr">
        <is>
          <t>BOTKYRKA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3671-2022</t>
        </is>
      </c>
      <c r="B62" s="1" t="n">
        <v>44586</v>
      </c>
      <c r="C62" s="1" t="n">
        <v>45635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3726-2022</t>
        </is>
      </c>
      <c r="B63" s="1" t="n">
        <v>44586</v>
      </c>
      <c r="C63" s="1" t="n">
        <v>45635</v>
      </c>
      <c r="D63" t="inlineStr">
        <is>
          <t>STOCKHOLMS LÄN</t>
        </is>
      </c>
      <c r="E63" t="inlineStr">
        <is>
          <t>BOTKYRKA</t>
        </is>
      </c>
      <c r="G63" t="n">
        <v>17.1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45635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11095-2022</t>
        </is>
      </c>
      <c r="B65" s="1" t="n">
        <v>44628</v>
      </c>
      <c r="C65" s="1" t="n">
        <v>45635</v>
      </c>
      <c r="D65" t="inlineStr">
        <is>
          <t>STOCKHOLMS LÄN</t>
        </is>
      </c>
      <c r="E65" t="inlineStr">
        <is>
          <t>BOTKYRKA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15825-2022</t>
        </is>
      </c>
      <c r="B66" s="1" t="n">
        <v>44664</v>
      </c>
      <c r="C66" s="1" t="n">
        <v>45635</v>
      </c>
      <c r="D66" t="inlineStr">
        <is>
          <t>STOCKHOLMS LÄN</t>
        </is>
      </c>
      <c r="E66" t="inlineStr">
        <is>
          <t>BOTKYRKA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15905-2022</t>
        </is>
      </c>
      <c r="B67" s="1" t="n">
        <v>44664</v>
      </c>
      <c r="C67" s="1" t="n">
        <v>45635</v>
      </c>
      <c r="D67" t="inlineStr">
        <is>
          <t>STOCKHOLMS LÄN</t>
        </is>
      </c>
      <c r="E67" t="inlineStr">
        <is>
          <t>BOTKYRKA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17789-2022</t>
        </is>
      </c>
      <c r="B68" s="1" t="n">
        <v>44680</v>
      </c>
      <c r="C68" s="1" t="n">
        <v>45635</v>
      </c>
      <c r="D68" t="inlineStr">
        <is>
          <t>STOCKHOLMS LÄN</t>
        </is>
      </c>
      <c r="E68" t="inlineStr">
        <is>
          <t>BOTKYRKA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18093-2022</t>
        </is>
      </c>
      <c r="B69" s="1" t="n">
        <v>44684</v>
      </c>
      <c r="C69" s="1" t="n">
        <v>45635</v>
      </c>
      <c r="D69" t="inlineStr">
        <is>
          <t>STOCKHOLMS LÄN</t>
        </is>
      </c>
      <c r="E69" t="inlineStr">
        <is>
          <t>BOTKYRKA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20649-2022</t>
        </is>
      </c>
      <c r="B70" s="1" t="n">
        <v>44700</v>
      </c>
      <c r="C70" s="1" t="n">
        <v>45635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32828-2022</t>
        </is>
      </c>
      <c r="B71" s="1" t="n">
        <v>44784</v>
      </c>
      <c r="C71" s="1" t="n">
        <v>45635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38194-2022</t>
        </is>
      </c>
      <c r="B72" s="1" t="n">
        <v>44812</v>
      </c>
      <c r="C72" s="1" t="n">
        <v>45635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38202-2022</t>
        </is>
      </c>
      <c r="B73" s="1" t="n">
        <v>44812</v>
      </c>
      <c r="C73" s="1" t="n">
        <v>45635</v>
      </c>
      <c r="D73" t="inlineStr">
        <is>
          <t>STOCKHOLMS LÄN</t>
        </is>
      </c>
      <c r="E73" t="inlineStr">
        <is>
          <t>BOTKYRKA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38196-2022</t>
        </is>
      </c>
      <c r="B74" s="1" t="n">
        <v>44812</v>
      </c>
      <c r="C74" s="1" t="n">
        <v>45635</v>
      </c>
      <c r="D74" t="inlineStr">
        <is>
          <t>STOCKHOLMS LÄN</t>
        </is>
      </c>
      <c r="E74" t="inlineStr">
        <is>
          <t>BOTKYRKA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38543-2022</t>
        </is>
      </c>
      <c r="B75" s="1" t="n">
        <v>44813</v>
      </c>
      <c r="C75" s="1" t="n">
        <v>45635</v>
      </c>
      <c r="D75" t="inlineStr">
        <is>
          <t>STOCKHOLMS LÄN</t>
        </is>
      </c>
      <c r="E75" t="inlineStr">
        <is>
          <t>BOTKYRKA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45635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46405-2022</t>
        </is>
      </c>
      <c r="B77" s="1" t="n">
        <v>44846</v>
      </c>
      <c r="C77" s="1" t="n">
        <v>45635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47617-2022</t>
        </is>
      </c>
      <c r="B78" s="1" t="n">
        <v>44852</v>
      </c>
      <c r="C78" s="1" t="n">
        <v>45635</v>
      </c>
      <c r="D78" t="inlineStr">
        <is>
          <t>STOCKHOLMS LÄN</t>
        </is>
      </c>
      <c r="E78" t="inlineStr">
        <is>
          <t>BOTKYRKA</t>
        </is>
      </c>
      <c r="G78" t="n">
        <v>11.6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48647-2022</t>
        </is>
      </c>
      <c r="B79" s="1" t="n">
        <v>44859</v>
      </c>
      <c r="C79" s="1" t="n">
        <v>45635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48667-2022</t>
        </is>
      </c>
      <c r="B80" s="1" t="n">
        <v>44859</v>
      </c>
      <c r="C80" s="1" t="n">
        <v>45635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48656-2022</t>
        </is>
      </c>
      <c r="B81" s="1" t="n">
        <v>44859</v>
      </c>
      <c r="C81" s="1" t="n">
        <v>45635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57876-2022</t>
        </is>
      </c>
      <c r="B82" s="1" t="n">
        <v>44899</v>
      </c>
      <c r="C82" s="1" t="n">
        <v>45635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58618-2022</t>
        </is>
      </c>
      <c r="B83" s="1" t="n">
        <v>44902</v>
      </c>
      <c r="C83" s="1" t="n">
        <v>45635</v>
      </c>
      <c r="D83" t="inlineStr">
        <is>
          <t>STOCKHOLMS LÄN</t>
        </is>
      </c>
      <c r="E83" t="inlineStr">
        <is>
          <t>BOTKYRKA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61242-2022</t>
        </is>
      </c>
      <c r="B84" s="1" t="n">
        <v>44915</v>
      </c>
      <c r="C84" s="1" t="n">
        <v>45635</v>
      </c>
      <c r="D84" t="inlineStr">
        <is>
          <t>STOCKHOLMS LÄN</t>
        </is>
      </c>
      <c r="E84" t="inlineStr">
        <is>
          <t>BOTKYRKA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61225-2022</t>
        </is>
      </c>
      <c r="B85" s="1" t="n">
        <v>44915</v>
      </c>
      <c r="C85" s="1" t="n">
        <v>45635</v>
      </c>
      <c r="D85" t="inlineStr">
        <is>
          <t>STOCKHOLMS LÄN</t>
        </is>
      </c>
      <c r="E85" t="inlineStr">
        <is>
          <t>BOTKYRKA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61516-2022</t>
        </is>
      </c>
      <c r="B86" s="1" t="n">
        <v>44916</v>
      </c>
      <c r="C86" s="1" t="n">
        <v>45635</v>
      </c>
      <c r="D86" t="inlineStr">
        <is>
          <t>STOCKHOLMS LÄN</t>
        </is>
      </c>
      <c r="E86" t="inlineStr">
        <is>
          <t>BOTKYRKA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61514-2022</t>
        </is>
      </c>
      <c r="B87" s="1" t="n">
        <v>44916</v>
      </c>
      <c r="C87" s="1" t="n">
        <v>45635</v>
      </c>
      <c r="D87" t="inlineStr">
        <is>
          <t>STOCKHOLMS LÄN</t>
        </is>
      </c>
      <c r="E87" t="inlineStr">
        <is>
          <t>BOTKYRKA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695-2023</t>
        </is>
      </c>
      <c r="B88" s="1" t="n">
        <v>44930</v>
      </c>
      <c r="C88" s="1" t="n">
        <v>45635</v>
      </c>
      <c r="D88" t="inlineStr">
        <is>
          <t>STOCKHOLMS LÄN</t>
        </is>
      </c>
      <c r="E88" t="inlineStr">
        <is>
          <t>BOTKYRKA</t>
        </is>
      </c>
      <c r="G88" t="n">
        <v>13.6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1347-2023</t>
        </is>
      </c>
      <c r="B89" s="1" t="n">
        <v>44936</v>
      </c>
      <c r="C89" s="1" t="n">
        <v>45635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1344-2023</t>
        </is>
      </c>
      <c r="B90" s="1" t="n">
        <v>44936</v>
      </c>
      <c r="C90" s="1" t="n">
        <v>45635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1337-2023</t>
        </is>
      </c>
      <c r="B91" s="1" t="n">
        <v>44936</v>
      </c>
      <c r="C91" s="1" t="n">
        <v>45635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1368-2023</t>
        </is>
      </c>
      <c r="B92" s="1" t="n">
        <v>44936</v>
      </c>
      <c r="C92" s="1" t="n">
        <v>45635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1695-2023</t>
        </is>
      </c>
      <c r="B93" s="1" t="n">
        <v>44938</v>
      </c>
      <c r="C93" s="1" t="n">
        <v>45635</v>
      </c>
      <c r="D93" t="inlineStr">
        <is>
          <t>STOCKHOLMS LÄN</t>
        </is>
      </c>
      <c r="E93" t="inlineStr">
        <is>
          <t>BOTKYRKA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9032-2023</t>
        </is>
      </c>
      <c r="B94" s="1" t="n">
        <v>44979</v>
      </c>
      <c r="C94" s="1" t="n">
        <v>45635</v>
      </c>
      <c r="D94" t="inlineStr">
        <is>
          <t>STOCKHOLMS LÄN</t>
        </is>
      </c>
      <c r="E94" t="inlineStr">
        <is>
          <t>BOTKYRKA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12282-2023</t>
        </is>
      </c>
      <c r="B95" s="1" t="n">
        <v>44995</v>
      </c>
      <c r="C95" s="1" t="n">
        <v>45635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statliga verk och myndigheter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15690-2023</t>
        </is>
      </c>
      <c r="B96" s="1" t="n">
        <v>45020</v>
      </c>
      <c r="C96" s="1" t="n">
        <v>45635</v>
      </c>
      <c r="D96" t="inlineStr">
        <is>
          <t>STOCKHOLMS LÄN</t>
        </is>
      </c>
      <c r="E96" t="inlineStr">
        <is>
          <t>BOTKYRKA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15692-2023</t>
        </is>
      </c>
      <c r="B97" s="1" t="n">
        <v>45020</v>
      </c>
      <c r="C97" s="1" t="n">
        <v>45635</v>
      </c>
      <c r="D97" t="inlineStr">
        <is>
          <t>STOCKHOLMS LÄN</t>
        </is>
      </c>
      <c r="E97" t="inlineStr">
        <is>
          <t>BOTKYRKA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16483-2023</t>
        </is>
      </c>
      <c r="B98" s="1" t="n">
        <v>45029</v>
      </c>
      <c r="C98" s="1" t="n">
        <v>45635</v>
      </c>
      <c r="D98" t="inlineStr">
        <is>
          <t>STOCKHOLMS LÄN</t>
        </is>
      </c>
      <c r="E98" t="inlineStr">
        <is>
          <t>BOTKYRKA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18956-2023</t>
        </is>
      </c>
      <c r="B99" s="1" t="n">
        <v>45044</v>
      </c>
      <c r="C99" s="1" t="n">
        <v>45635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19577-2023</t>
        </is>
      </c>
      <c r="B100" s="1" t="n">
        <v>45050</v>
      </c>
      <c r="C100" s="1" t="n">
        <v>45635</v>
      </c>
      <c r="D100" t="inlineStr">
        <is>
          <t>STOCKHOLMS LÄN</t>
        </is>
      </c>
      <c r="E100" t="inlineStr">
        <is>
          <t>BOTKYRKA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21285-2023</t>
        </is>
      </c>
      <c r="B101" s="1" t="n">
        <v>45062</v>
      </c>
      <c r="C101" s="1" t="n">
        <v>45635</v>
      </c>
      <c r="D101" t="inlineStr">
        <is>
          <t>STOCKHOLMS LÄN</t>
        </is>
      </c>
      <c r="E101" t="inlineStr">
        <is>
          <t>BOTKYRKA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30917-2023</t>
        </is>
      </c>
      <c r="B102" s="1" t="n">
        <v>45113</v>
      </c>
      <c r="C102" s="1" t="n">
        <v>45635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30925-2023</t>
        </is>
      </c>
      <c r="B103" s="1" t="n">
        <v>45113</v>
      </c>
      <c r="C103" s="1" t="n">
        <v>45635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36402-2023</t>
        </is>
      </c>
      <c r="B104" s="1" t="n">
        <v>45152</v>
      </c>
      <c r="C104" s="1" t="n">
        <v>45635</v>
      </c>
      <c r="D104" t="inlineStr">
        <is>
          <t>STOCKHOLMS LÄN</t>
        </is>
      </c>
      <c r="E104" t="inlineStr">
        <is>
          <t>BOTKYRKA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39763-2023</t>
        </is>
      </c>
      <c r="B105" s="1" t="n">
        <v>45167</v>
      </c>
      <c r="C105" s="1" t="n">
        <v>45635</v>
      </c>
      <c r="D105" t="inlineStr">
        <is>
          <t>STOCKHOLMS LÄN</t>
        </is>
      </c>
      <c r="E105" t="inlineStr">
        <is>
          <t>BOTKYRKA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40978-2023</t>
        </is>
      </c>
      <c r="B106" s="1" t="n">
        <v>45173</v>
      </c>
      <c r="C106" s="1" t="n">
        <v>45635</v>
      </c>
      <c r="D106" t="inlineStr">
        <is>
          <t>STOCKHOLMS LÄN</t>
        </is>
      </c>
      <c r="E106" t="inlineStr">
        <is>
          <t>BOTKYRKA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HYPERLINK("https://klasma.github.io/Logging_0127/knärot/A 40978-2023 karta knärot.png", "A 40978-2023")</f>
        <v/>
      </c>
      <c r="V106">
        <f>HYPERLINK("https://klasma.github.io/Logging_0127/klagomål/A 40978-2023 FSC-klagomål.docx", "A 40978-2023")</f>
        <v/>
      </c>
      <c r="W106">
        <f>HYPERLINK("https://klasma.github.io/Logging_0127/klagomålsmail/A 40978-2023 FSC-klagomål mail.docx", "A 40978-2023")</f>
        <v/>
      </c>
      <c r="X106">
        <f>HYPERLINK("https://klasma.github.io/Logging_0127/tillsyn/A 40978-2023 tillsynsbegäran.docx", "A 40978-2023")</f>
        <v/>
      </c>
      <c r="Y106">
        <f>HYPERLINK("https://klasma.github.io/Logging_0127/tillsynsmail/A 40978-2023 tillsynsbegäran mail.docx", "A 40978-2023")</f>
        <v/>
      </c>
    </row>
    <row r="107" ht="15" customHeight="1">
      <c r="A107" t="inlineStr">
        <is>
          <t>A 46942-2023</t>
        </is>
      </c>
      <c r="B107" s="1" t="n">
        <v>45195</v>
      </c>
      <c r="C107" s="1" t="n">
        <v>45635</v>
      </c>
      <c r="D107" t="inlineStr">
        <is>
          <t>STOCKHOLMS LÄN</t>
        </is>
      </c>
      <c r="E107" t="inlineStr">
        <is>
          <t>BOTKYRKA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56885-2023</t>
        </is>
      </c>
      <c r="B108" s="1" t="n">
        <v>45244</v>
      </c>
      <c r="C108" s="1" t="n">
        <v>45635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56900-2023</t>
        </is>
      </c>
      <c r="B109" s="1" t="n">
        <v>45244</v>
      </c>
      <c r="C109" s="1" t="n">
        <v>45635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60063-2023</t>
        </is>
      </c>
      <c r="B110" s="1" t="n">
        <v>45258</v>
      </c>
      <c r="C110" s="1" t="n">
        <v>45635</v>
      </c>
      <c r="D110" t="inlineStr">
        <is>
          <t>STOCKHOLMS LÄN</t>
        </is>
      </c>
      <c r="E110" t="inlineStr">
        <is>
          <t>BOTKYRKA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60075-2023</t>
        </is>
      </c>
      <c r="B111" s="1" t="n">
        <v>45258</v>
      </c>
      <c r="C111" s="1" t="n">
        <v>45635</v>
      </c>
      <c r="D111" t="inlineStr">
        <is>
          <t>STOCKHOLMS LÄN</t>
        </is>
      </c>
      <c r="E111" t="inlineStr">
        <is>
          <t>BOTKYRKA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63071-2023</t>
        </is>
      </c>
      <c r="B112" s="1" t="n">
        <v>45272</v>
      </c>
      <c r="C112" s="1" t="n">
        <v>45635</v>
      </c>
      <c r="D112" t="inlineStr">
        <is>
          <t>STOCKHOLMS LÄN</t>
        </is>
      </c>
      <c r="E112" t="inlineStr">
        <is>
          <t>BOTKYRKA</t>
        </is>
      </c>
      <c r="F112" t="inlineStr">
        <is>
          <t>Kommuner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64544-2023</t>
        </is>
      </c>
      <c r="B113" s="1" t="n">
        <v>45281</v>
      </c>
      <c r="C113" s="1" t="n">
        <v>45635</v>
      </c>
      <c r="D113" t="inlineStr">
        <is>
          <t>STOCKHOLMS LÄN</t>
        </is>
      </c>
      <c r="E113" t="inlineStr">
        <is>
          <t>BOTKYRKA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6962-2024</t>
        </is>
      </c>
      <c r="B114" s="1" t="n">
        <v>45343</v>
      </c>
      <c r="C114" s="1" t="n">
        <v>45635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6978-2024</t>
        </is>
      </c>
      <c r="B115" s="1" t="n">
        <v>45343</v>
      </c>
      <c r="C115" s="1" t="n">
        <v>45635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8528-2024</t>
        </is>
      </c>
      <c r="B116" s="1" t="n">
        <v>45355</v>
      </c>
      <c r="C116" s="1" t="n">
        <v>45635</v>
      </c>
      <c r="D116" t="inlineStr">
        <is>
          <t>STOCKHOLMS LÄN</t>
        </is>
      </c>
      <c r="E116" t="inlineStr">
        <is>
          <t>BOTKYRKA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11867-2024</t>
        </is>
      </c>
      <c r="B117" s="1" t="n">
        <v>45376</v>
      </c>
      <c r="C117" s="1" t="n">
        <v>45635</v>
      </c>
      <c r="D117" t="inlineStr">
        <is>
          <t>STOCKHOLMS LÄN</t>
        </is>
      </c>
      <c r="E117" t="inlineStr">
        <is>
          <t>BOTKYRKA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11876-2024</t>
        </is>
      </c>
      <c r="B118" s="1" t="n">
        <v>45376</v>
      </c>
      <c r="C118" s="1" t="n">
        <v>45635</v>
      </c>
      <c r="D118" t="inlineStr">
        <is>
          <t>STOCKHOLMS LÄN</t>
        </is>
      </c>
      <c r="E118" t="inlineStr">
        <is>
          <t>BOTKYRKA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16142-2024</t>
        </is>
      </c>
      <c r="B119" s="1" t="n">
        <v>45406</v>
      </c>
      <c r="C119" s="1" t="n">
        <v>45635</v>
      </c>
      <c r="D119" t="inlineStr">
        <is>
          <t>STOCKHOLMS LÄN</t>
        </is>
      </c>
      <c r="E119" t="inlineStr">
        <is>
          <t>BOTKYRKA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16145-2024</t>
        </is>
      </c>
      <c r="B120" s="1" t="n">
        <v>45406</v>
      </c>
      <c r="C120" s="1" t="n">
        <v>45635</v>
      </c>
      <c r="D120" t="inlineStr">
        <is>
          <t>STOCKHOLMS LÄN</t>
        </is>
      </c>
      <c r="E120" t="inlineStr">
        <is>
          <t>BOTKYRKA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16149-2024</t>
        </is>
      </c>
      <c r="B121" s="1" t="n">
        <v>45406</v>
      </c>
      <c r="C121" s="1" t="n">
        <v>45635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19319-2024</t>
        </is>
      </c>
      <c r="B122" s="1" t="n">
        <v>45428</v>
      </c>
      <c r="C122" s="1" t="n">
        <v>45635</v>
      </c>
      <c r="D122" t="inlineStr">
        <is>
          <t>STOCKHOLMS LÄN</t>
        </is>
      </c>
      <c r="E122" t="inlineStr">
        <is>
          <t>BOTKYRKA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19318-2024</t>
        </is>
      </c>
      <c r="B123" s="1" t="n">
        <v>45428</v>
      </c>
      <c r="C123" s="1" t="n">
        <v>45635</v>
      </c>
      <c r="D123" t="inlineStr">
        <is>
          <t>STOCKHOLMS LÄN</t>
        </is>
      </c>
      <c r="E123" t="inlineStr">
        <is>
          <t>BOTKYRKA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23670-2024</t>
        </is>
      </c>
      <c r="B124" s="1" t="n">
        <v>45454</v>
      </c>
      <c r="C124" s="1" t="n">
        <v>45635</v>
      </c>
      <c r="D124" t="inlineStr">
        <is>
          <t>STOCKHOLMS LÄN</t>
        </is>
      </c>
      <c r="E124" t="inlineStr">
        <is>
          <t>BOTKYRKA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25217-2024</t>
        </is>
      </c>
      <c r="B125" s="1" t="n">
        <v>45462</v>
      </c>
      <c r="C125" s="1" t="n">
        <v>45635</v>
      </c>
      <c r="D125" t="inlineStr">
        <is>
          <t>STOCKHOLMS LÄN</t>
        </is>
      </c>
      <c r="E125" t="inlineStr">
        <is>
          <t>BOTKYRKA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25156-2024</t>
        </is>
      </c>
      <c r="B126" s="1" t="n">
        <v>45462</v>
      </c>
      <c r="C126" s="1" t="n">
        <v>45635</v>
      </c>
      <c r="D126" t="inlineStr">
        <is>
          <t>STOCKHOLMS LÄN</t>
        </is>
      </c>
      <c r="E126" t="inlineStr">
        <is>
          <t>BOTKYRKA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28983-2024</t>
        </is>
      </c>
      <c r="B127" s="1" t="n">
        <v>45481</v>
      </c>
      <c r="C127" s="1" t="n">
        <v>45635</v>
      </c>
      <c r="D127" t="inlineStr">
        <is>
          <t>STOCKHOLMS LÄN</t>
        </is>
      </c>
      <c r="E127" t="inlineStr">
        <is>
          <t>BOTKYRKA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30378-2024</t>
        </is>
      </c>
      <c r="B128" s="1" t="n">
        <v>45491</v>
      </c>
      <c r="C128" s="1" t="n">
        <v>45635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30622-2024</t>
        </is>
      </c>
      <c r="B129" s="1" t="n">
        <v>45495</v>
      </c>
      <c r="C129" s="1" t="n">
        <v>45635</v>
      </c>
      <c r="D129" t="inlineStr">
        <is>
          <t>STOCKHOLMS LÄN</t>
        </is>
      </c>
      <c r="E129" t="inlineStr">
        <is>
          <t>BOTKYRKA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35197-2024</t>
        </is>
      </c>
      <c r="B130" s="1" t="n">
        <v>45530</v>
      </c>
      <c r="C130" s="1" t="n">
        <v>45635</v>
      </c>
      <c r="D130" t="inlineStr">
        <is>
          <t>STOCKHOLMS LÄN</t>
        </is>
      </c>
      <c r="E130" t="inlineStr">
        <is>
          <t>BOTKYRKA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35180-2024</t>
        </is>
      </c>
      <c r="B131" s="1" t="n">
        <v>45530</v>
      </c>
      <c r="C131" s="1" t="n">
        <v>45635</v>
      </c>
      <c r="D131" t="inlineStr">
        <is>
          <t>STOCKHOLMS LÄN</t>
        </is>
      </c>
      <c r="E131" t="inlineStr">
        <is>
          <t>BOTKYRKA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38429-2024</t>
        </is>
      </c>
      <c r="B132" s="1" t="n">
        <v>45546</v>
      </c>
      <c r="C132" s="1" t="n">
        <v>45635</v>
      </c>
      <c r="D132" t="inlineStr">
        <is>
          <t>STOCKHOLMS LÄN</t>
        </is>
      </c>
      <c r="E132" t="inlineStr">
        <is>
          <t>BOTKYRKA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52263-2024</t>
        </is>
      </c>
      <c r="B133" s="1" t="n">
        <v>45608</v>
      </c>
      <c r="C133" s="1" t="n">
        <v>45635</v>
      </c>
      <c r="D133" t="inlineStr">
        <is>
          <t>STOCKHOLMS LÄN</t>
        </is>
      </c>
      <c r="E133" t="inlineStr">
        <is>
          <t>BOTKYRKA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52464-2024</t>
        </is>
      </c>
      <c r="B134" s="1" t="n">
        <v>45609</v>
      </c>
      <c r="C134" s="1" t="n">
        <v>45635</v>
      </c>
      <c r="D134" t="inlineStr">
        <is>
          <t>STOCKHOLMS LÄN</t>
        </is>
      </c>
      <c r="E134" t="inlineStr">
        <is>
          <t>BOTKYRKA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2024-12-09T15:10:33Z</dcterms:created>
  <dcterms:modified xmlns:dcterms="http://purl.org/dc/terms/" xmlns:xsi="http://www.w3.org/2001/XMLSchema-instance" xsi:type="dcterms:W3CDTF">2024-12-09T15:10:33Z</dcterms:modified>
</cp:coreProperties>
</file>