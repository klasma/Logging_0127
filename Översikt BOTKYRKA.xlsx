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46091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46091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46091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46091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46091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46091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46091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46091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46091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46091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46091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46091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46091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46091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46091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46091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46091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46091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46091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12590-2026</t>
        </is>
      </c>
      <c r="B21" s="1" t="n">
        <v>46090.73949074074</v>
      </c>
      <c r="C21" s="1" t="n">
        <v>46091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HYPERLINK("https://klasma.github.io/Logging_0127/artfynd/A 12590-2026 artfynd.xlsx", "A 12590-2026")</f>
        <v/>
      </c>
      <c r="T21">
        <f>HYPERLINK("https://klasma.github.io/Logging_0127/kartor/A 12590-2026 karta.png", "A 12590-2026")</f>
        <v/>
      </c>
      <c r="V21">
        <f>HYPERLINK("https://klasma.github.io/Logging_0127/klagomål/A 12590-2026 FSC-klagomål.docx", "A 12590-2026")</f>
        <v/>
      </c>
      <c r="W21">
        <f>HYPERLINK("https://klasma.github.io/Logging_0127/klagomålsmail/A 12590-2026 FSC-klagomål mail.docx", "A 12590-2026")</f>
        <v/>
      </c>
      <c r="X21">
        <f>HYPERLINK("https://klasma.github.io/Logging_0127/tillsyn/A 12590-2026 tillsynsbegäran.docx", "A 12590-2026")</f>
        <v/>
      </c>
      <c r="Y21">
        <f>HYPERLINK("https://klasma.github.io/Logging_0127/tillsynsmail/A 12590-2026 tillsynsbegäran mail.docx", "A 12590-2026")</f>
        <v/>
      </c>
      <c r="Z21">
        <f>HYPERLINK("https://klasma.github.io/Logging_0127/fåglar/A 12590-2026 prioriterade fågelarter.docx", "A 12590-2026")</f>
        <v/>
      </c>
    </row>
    <row r="22" ht="15" customHeight="1">
      <c r="A22" t="inlineStr">
        <is>
          <t>A 27791-2021</t>
        </is>
      </c>
      <c r="B22" s="1" t="n">
        <v>44354</v>
      </c>
      <c r="C22" s="1" t="n">
        <v>46091</v>
      </c>
      <c r="D22" t="inlineStr">
        <is>
          <t>STOCKHOLMS LÄN</t>
        </is>
      </c>
      <c r="E22" t="inlineStr">
        <is>
          <t>BOTKYRKA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3681-2022</t>
        </is>
      </c>
      <c r="B23" s="1" t="n">
        <v>44586</v>
      </c>
      <c r="C23" s="1" t="n">
        <v>46091</v>
      </c>
      <c r="D23" t="inlineStr">
        <is>
          <t>STOCKHOLMS LÄN</t>
        </is>
      </c>
      <c r="E23" t="inlineStr">
        <is>
          <t>BOTKYRKA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48667-2022</t>
        </is>
      </c>
      <c r="B24" s="1" t="n">
        <v>44859</v>
      </c>
      <c r="C24" s="1" t="n">
        <v>46091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32828-2022</t>
        </is>
      </c>
      <c r="B25" s="1" t="n">
        <v>44784</v>
      </c>
      <c r="C25" s="1" t="n">
        <v>46091</v>
      </c>
      <c r="D25" t="inlineStr">
        <is>
          <t>STOCKHOLMS LÄN</t>
        </is>
      </c>
      <c r="E25" t="inlineStr">
        <is>
          <t>BOTKYRKA</t>
        </is>
      </c>
      <c r="F25" t="inlineStr">
        <is>
          <t>Övriga Aktiebolag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43717-2021</t>
        </is>
      </c>
      <c r="B26" s="1" t="n">
        <v>44433.62546296296</v>
      </c>
      <c r="C26" s="1" t="n">
        <v>46091</v>
      </c>
      <c r="D26" t="inlineStr">
        <is>
          <t>STOCKHOLMS LÄN</t>
        </is>
      </c>
      <c r="E26" t="inlineStr">
        <is>
          <t>BOTKYRKA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46091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46091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20210-2021</t>
        </is>
      </c>
      <c r="B29" s="1" t="n">
        <v>44314</v>
      </c>
      <c r="C29" s="1" t="n">
        <v>46091</v>
      </c>
      <c r="D29" t="inlineStr">
        <is>
          <t>STOCKHOLMS LÄN</t>
        </is>
      </c>
      <c r="E29" t="inlineStr">
        <is>
          <t>BOTKYRKA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73772-2021</t>
        </is>
      </c>
      <c r="B30" s="1" t="n">
        <v>44552</v>
      </c>
      <c r="C30" s="1" t="n">
        <v>46091</v>
      </c>
      <c r="D30" t="inlineStr">
        <is>
          <t>STOCKHOLMS LÄN</t>
        </is>
      </c>
      <c r="E30" t="inlineStr">
        <is>
          <t>BOTKYRKA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46091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46091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46091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46091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46091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46091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46091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46091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11876-2024</t>
        </is>
      </c>
      <c r="B39" s="1" t="n">
        <v>45376.47072916666</v>
      </c>
      <c r="C39" s="1" t="n">
        <v>46091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16142-2024</t>
        </is>
      </c>
      <c r="B40" s="1" t="n">
        <v>45406</v>
      </c>
      <c r="C40" s="1" t="n">
        <v>46091</v>
      </c>
      <c r="D40" t="inlineStr">
        <is>
          <t>STOCKHOLMS LÄN</t>
        </is>
      </c>
      <c r="E40" t="inlineStr">
        <is>
          <t>BOTKYRKA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38194-2022</t>
        </is>
      </c>
      <c r="B41" s="1" t="n">
        <v>44812</v>
      </c>
      <c r="C41" s="1" t="n">
        <v>46091</v>
      </c>
      <c r="D41" t="inlineStr">
        <is>
          <t>STOCKHOLMS LÄN</t>
        </is>
      </c>
      <c r="E41" t="inlineStr">
        <is>
          <t>BOTKYRKA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28983-2024</t>
        </is>
      </c>
      <c r="B42" s="1" t="n">
        <v>45481.47731481482</v>
      </c>
      <c r="C42" s="1" t="n">
        <v>46091</v>
      </c>
      <c r="D42" t="inlineStr">
        <is>
          <t>STOCKHOLMS LÄN</t>
        </is>
      </c>
      <c r="E42" t="inlineStr">
        <is>
          <t>BOTKYRKA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73155-2021</t>
        </is>
      </c>
      <c r="B43" s="1" t="n">
        <v>44550</v>
      </c>
      <c r="C43" s="1" t="n">
        <v>46091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30378-2024</t>
        </is>
      </c>
      <c r="B44" s="1" t="n">
        <v>45491</v>
      </c>
      <c r="C44" s="1" t="n">
        <v>46091</v>
      </c>
      <c r="D44" t="inlineStr">
        <is>
          <t>STOCKHOLMS LÄN</t>
        </is>
      </c>
      <c r="E44" t="inlineStr">
        <is>
          <t>BOTKYRKA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15905-2022</t>
        </is>
      </c>
      <c r="B45" s="1" t="n">
        <v>44664</v>
      </c>
      <c r="C45" s="1" t="n">
        <v>46091</v>
      </c>
      <c r="D45" t="inlineStr">
        <is>
          <t>STOCKHOLMS LÄN</t>
        </is>
      </c>
      <c r="E45" t="inlineStr">
        <is>
          <t>BOTKYRKA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61514-2022</t>
        </is>
      </c>
      <c r="B46" s="1" t="n">
        <v>44916</v>
      </c>
      <c r="C46" s="1" t="n">
        <v>46091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45945-2025</t>
        </is>
      </c>
      <c r="B47" s="1" t="n">
        <v>45924</v>
      </c>
      <c r="C47" s="1" t="n">
        <v>46091</v>
      </c>
      <c r="D47" t="inlineStr">
        <is>
          <t>STOCKHOLMS LÄN</t>
        </is>
      </c>
      <c r="E47" t="inlineStr">
        <is>
          <t>BOTKYRKA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15692-2023</t>
        </is>
      </c>
      <c r="B48" s="1" t="n">
        <v>45020</v>
      </c>
      <c r="C48" s="1" t="n">
        <v>46091</v>
      </c>
      <c r="D48" t="inlineStr">
        <is>
          <t>STOCKHOLMS LÄN</t>
        </is>
      </c>
      <c r="E48" t="inlineStr">
        <is>
          <t>BOTKYRKA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46091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54468-2025</t>
        </is>
      </c>
      <c r="B50" s="1" t="n">
        <v>45965</v>
      </c>
      <c r="C50" s="1" t="n">
        <v>46091</v>
      </c>
      <c r="D50" t="inlineStr">
        <is>
          <t>STOCKHOLMS LÄN</t>
        </is>
      </c>
      <c r="E50" t="inlineStr">
        <is>
          <t>BOTKYRKA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46091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46091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21285-2023</t>
        </is>
      </c>
      <c r="B53" s="1" t="n">
        <v>45062</v>
      </c>
      <c r="C53" s="1" t="n">
        <v>46091</v>
      </c>
      <c r="D53" t="inlineStr">
        <is>
          <t>STOCKHOLMS LÄN</t>
        </is>
      </c>
      <c r="E53" t="inlineStr">
        <is>
          <t>BOTKYRKA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3021-2025</t>
        </is>
      </c>
      <c r="B54" s="1" t="n">
        <v>45678.57962962963</v>
      </c>
      <c r="C54" s="1" t="n">
        <v>46091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36097-2021</t>
        </is>
      </c>
      <c r="B55" s="1" t="n">
        <v>44389</v>
      </c>
      <c r="C55" s="1" t="n">
        <v>46091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11867-2024</t>
        </is>
      </c>
      <c r="B56" s="1" t="n">
        <v>45376.45421296296</v>
      </c>
      <c r="C56" s="1" t="n">
        <v>46091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46091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73194-2021</t>
        </is>
      </c>
      <c r="B58" s="1" t="n">
        <v>44550.61508101852</v>
      </c>
      <c r="C58" s="1" t="n">
        <v>46091</v>
      </c>
      <c r="D58" t="inlineStr">
        <is>
          <t>STOCKHOLMS LÄN</t>
        </is>
      </c>
      <c r="E58" t="inlineStr">
        <is>
          <t>BOTKYRKA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15690-2023</t>
        </is>
      </c>
      <c r="B59" s="1" t="n">
        <v>45020</v>
      </c>
      <c r="C59" s="1" t="n">
        <v>46091</v>
      </c>
      <c r="D59" t="inlineStr">
        <is>
          <t>STOCKHOLMS LÄN</t>
        </is>
      </c>
      <c r="E59" t="inlineStr">
        <is>
          <t>BOTKYRKA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20649-2022</t>
        </is>
      </c>
      <c r="B60" s="1" t="n">
        <v>44700</v>
      </c>
      <c r="C60" s="1" t="n">
        <v>46091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6059-2022</t>
        </is>
      </c>
      <c r="B61" s="1" t="n">
        <v>44599</v>
      </c>
      <c r="C61" s="1" t="n">
        <v>46091</v>
      </c>
      <c r="D61" t="inlineStr">
        <is>
          <t>STOCKHOLMS LÄN</t>
        </is>
      </c>
      <c r="E61" t="inlineStr">
        <is>
          <t>BOTKYRKA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61225-2022</t>
        </is>
      </c>
      <c r="B62" s="1" t="n">
        <v>44915</v>
      </c>
      <c r="C62" s="1" t="n">
        <v>46091</v>
      </c>
      <c r="D62" t="inlineStr">
        <is>
          <t>STOCKHOLMS LÄN</t>
        </is>
      </c>
      <c r="E62" t="inlineStr">
        <is>
          <t>BOTKYRKA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8528-2024</t>
        </is>
      </c>
      <c r="B63" s="1" t="n">
        <v>45355.49099537037</v>
      </c>
      <c r="C63" s="1" t="n">
        <v>46091</v>
      </c>
      <c r="D63" t="inlineStr">
        <is>
          <t>STOCKHOLMS LÄN</t>
        </is>
      </c>
      <c r="E63" t="inlineStr">
        <is>
          <t>BOTKYRKA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12305-2026</t>
        </is>
      </c>
      <c r="B64" s="1" t="n">
        <v>46087.57827546296</v>
      </c>
      <c r="C64" s="1" t="n">
        <v>46091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12306-2026</t>
        </is>
      </c>
      <c r="B65" s="1" t="n">
        <v>46087.57949074074</v>
      </c>
      <c r="C65" s="1" t="n">
        <v>46091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12294-2026</t>
        </is>
      </c>
      <c r="B66" s="1" t="n">
        <v>46087.55737268519</v>
      </c>
      <c r="C66" s="1" t="n">
        <v>46091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44586.57239583333</v>
      </c>
      <c r="C67" s="1" t="n">
        <v>46091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35197-2024</t>
        </is>
      </c>
      <c r="B68" s="1" t="n">
        <v>45530</v>
      </c>
      <c r="C68" s="1" t="n">
        <v>46091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9032-2023</t>
        </is>
      </c>
      <c r="B69" s="1" t="n">
        <v>44979</v>
      </c>
      <c r="C69" s="1" t="n">
        <v>46091</v>
      </c>
      <c r="D69" t="inlineStr">
        <is>
          <t>STOCKHOLMS LÄN</t>
        </is>
      </c>
      <c r="E69" t="inlineStr">
        <is>
          <t>BOTKYRKA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25217-2024</t>
        </is>
      </c>
      <c r="B70" s="1" t="n">
        <v>45462</v>
      </c>
      <c r="C70" s="1" t="n">
        <v>46091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16483-2023</t>
        </is>
      </c>
      <c r="B71" s="1" t="n">
        <v>45029</v>
      </c>
      <c r="C71" s="1" t="n">
        <v>46091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30622-2024</t>
        </is>
      </c>
      <c r="B72" s="1" t="n">
        <v>45495</v>
      </c>
      <c r="C72" s="1" t="n">
        <v>46091</v>
      </c>
      <c r="D72" t="inlineStr">
        <is>
          <t>STOCKHOLMS LÄN</t>
        </is>
      </c>
      <c r="E72" t="inlineStr">
        <is>
          <t>BOTKYRKA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61320-2024</t>
        </is>
      </c>
      <c r="B73" s="1" t="n">
        <v>45646.33262731481</v>
      </c>
      <c r="C73" s="1" t="n">
        <v>46091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30925-2023</t>
        </is>
      </c>
      <c r="B74" s="1" t="n">
        <v>45113</v>
      </c>
      <c r="C74" s="1" t="n">
        <v>46091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46091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14217-2025</t>
        </is>
      </c>
      <c r="B76" s="1" t="n">
        <v>45740.58534722222</v>
      </c>
      <c r="C76" s="1" t="n">
        <v>46091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61242-2022</t>
        </is>
      </c>
      <c r="B77" s="1" t="n">
        <v>44915</v>
      </c>
      <c r="C77" s="1" t="n">
        <v>46091</v>
      </c>
      <c r="D77" t="inlineStr">
        <is>
          <t>STOCKHOLMS LÄN</t>
        </is>
      </c>
      <c r="E77" t="inlineStr">
        <is>
          <t>BOTKYRKA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2026-03-10T11:11:51Z</dcterms:created>
  <dcterms:modified xmlns:dcterms="http://purl.org/dc/terms/" xmlns:xsi="http://www.w3.org/2001/XMLSchema-instance" xsi:type="dcterms:W3CDTF">2026-03-10T11:11:51Z</dcterms:modified>
</cp:coreProperties>
</file>