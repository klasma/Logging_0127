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46181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46181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46181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46181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46181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46181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46181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46181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46181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46181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46181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46181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46181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46181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46181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46181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12305-2026</t>
        </is>
      </c>
      <c r="B18" s="1" t="n">
        <v>46087.57827546296</v>
      </c>
      <c r="C18" s="1" t="n">
        <v>46181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HYPERLINK("https://klasma.github.io/Logging_0127/artfynd/A 12305-2026 artfynd.xlsx", "A 12305-2026")</f>
        <v/>
      </c>
      <c r="T18">
        <f>HYPERLINK("https://klasma.github.io/Logging_0127/kartor/A 12305-2026 karta.png", "A 12305-2026")</f>
        <v/>
      </c>
      <c r="V18">
        <f>HYPERLINK("https://klasma.github.io/Logging_0127/klagomål/A 12305-2026 FSC-klagomål.docx", "A 12305-2026")</f>
        <v/>
      </c>
      <c r="W18">
        <f>HYPERLINK("https://klasma.github.io/Logging_0127/klagomålsmail/A 12305-2026 FSC-klagomål mail.docx", "A 12305-2026")</f>
        <v/>
      </c>
      <c r="X18">
        <f>HYPERLINK("https://klasma.github.io/Logging_0127/tillsyn/A 12305-2026 tillsynsbegäran.docx", "A 12305-2026")</f>
        <v/>
      </c>
      <c r="Y18">
        <f>HYPERLINK("https://klasma.github.io/Logging_0127/tillsynsmail/A 12305-2026 tillsynsbegäran mail.docx", "A 12305-2026")</f>
        <v/>
      </c>
      <c r="Z18">
        <f>HYPERLINK("https://klasma.github.io/Logging_0127/fåglar/A 12305-2026 prioriterade fågelarter.docx", "A 12305-2026")</f>
        <v/>
      </c>
    </row>
    <row r="19" ht="15" customHeight="1">
      <c r="A19" t="inlineStr">
        <is>
          <t>A 12590-2026</t>
        </is>
      </c>
      <c r="B19" s="1" t="n">
        <v>46090.73949074074</v>
      </c>
      <c r="C19" s="1" t="n">
        <v>46181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HYPERLINK("https://klasma.github.io/Logging_0127/artfynd/A 12590-2026 artfynd.xlsx", "A 12590-2026")</f>
        <v/>
      </c>
      <c r="T19">
        <f>HYPERLINK("https://klasma.github.io/Logging_0127/kartor/A 12590-2026 karta.png", "A 12590-2026")</f>
        <v/>
      </c>
      <c r="V19">
        <f>HYPERLINK("https://klasma.github.io/Logging_0127/klagomål/A 12590-2026 FSC-klagomål.docx", "A 12590-2026")</f>
        <v/>
      </c>
      <c r="W19">
        <f>HYPERLINK("https://klasma.github.io/Logging_0127/klagomålsmail/A 12590-2026 FSC-klagomål mail.docx", "A 12590-2026")</f>
        <v/>
      </c>
      <c r="X19">
        <f>HYPERLINK("https://klasma.github.io/Logging_0127/tillsyn/A 12590-2026 tillsynsbegäran.docx", "A 12590-2026")</f>
        <v/>
      </c>
      <c r="Y19">
        <f>HYPERLINK("https://klasma.github.io/Logging_0127/tillsynsmail/A 12590-2026 tillsynsbegäran mail.docx", "A 12590-2026")</f>
        <v/>
      </c>
      <c r="Z19">
        <f>HYPERLINK("https://klasma.github.io/Logging_0127/fåglar/A 12590-2026 prioriterade fågelarter.docx", "A 12590-2026")</f>
        <v/>
      </c>
    </row>
    <row r="20" ht="15" customHeight="1">
      <c r="A20" t="inlineStr">
        <is>
          <t>A 12842-2026</t>
        </is>
      </c>
      <c r="B20" s="1" t="n">
        <v>46092.44197916667</v>
      </c>
      <c r="C20" s="1" t="n">
        <v>46181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Fyrflikig jordstjärna</t>
        </is>
      </c>
      <c r="S20">
        <f>HYPERLINK("https://klasma.github.io/Logging_0127/artfynd/A 12842-2026 artfynd.xlsx", "A 12842-2026")</f>
        <v/>
      </c>
      <c r="T20">
        <f>HYPERLINK("https://klasma.github.io/Logging_0127/kartor/A 12842-2026 karta.png", "A 12842-2026")</f>
        <v/>
      </c>
      <c r="V20">
        <f>HYPERLINK("https://klasma.github.io/Logging_0127/klagomål/A 12842-2026 FSC-klagomål.docx", "A 12842-2026")</f>
        <v/>
      </c>
      <c r="W20">
        <f>HYPERLINK("https://klasma.github.io/Logging_0127/klagomålsmail/A 12842-2026 FSC-klagomål mail.docx", "A 12842-2026")</f>
        <v/>
      </c>
      <c r="X20">
        <f>HYPERLINK("https://klasma.github.io/Logging_0127/tillsyn/A 12842-2026 tillsynsbegäran.docx", "A 12842-2026")</f>
        <v/>
      </c>
      <c r="Y20">
        <f>HYPERLINK("https://klasma.github.io/Logging_0127/tillsynsmail/A 12842-2026 tillsynsbegäran mail.docx", "A 12842-2026")</f>
        <v/>
      </c>
    </row>
    <row r="21" ht="15" customHeight="1">
      <c r="A21" t="inlineStr">
        <is>
          <t>A 23829-2023</t>
        </is>
      </c>
      <c r="B21" s="1" t="n">
        <v>45078</v>
      </c>
      <c r="C21" s="1" t="n">
        <v>46181</v>
      </c>
      <c r="D21" t="inlineStr">
        <is>
          <t>STOCKHOLMS LÄN</t>
        </is>
      </c>
      <c r="E21" t="inlineStr">
        <is>
          <t>BOTKYRKA</t>
        </is>
      </c>
      <c r="F21" t="inlineStr">
        <is>
          <t>Kommuner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HYPERLINK("https://klasma.github.io/Logging_0127/artfynd/A 23829-2023 artfynd.xlsx", "A 23829-2023")</f>
        <v/>
      </c>
      <c r="T21">
        <f>HYPERLINK("https://klasma.github.io/Logging_0127/kartor/A 23829-2023 karta.png", "A 23829-2023")</f>
        <v/>
      </c>
      <c r="V21">
        <f>HYPERLINK("https://klasma.github.io/Logging_0127/klagomål/A 23829-2023 FSC-klagomål.docx", "A 23829-2023")</f>
        <v/>
      </c>
      <c r="W21">
        <f>HYPERLINK("https://klasma.github.io/Logging_0127/klagomålsmail/A 23829-2023 FSC-klagomål mail.docx", "A 23829-2023")</f>
        <v/>
      </c>
      <c r="X21">
        <f>HYPERLINK("https://klasma.github.io/Logging_0127/tillsyn/A 23829-2023 tillsynsbegäran.docx", "A 23829-2023")</f>
        <v/>
      </c>
      <c r="Y21">
        <f>HYPERLINK("https://klasma.github.io/Logging_0127/tillsynsmail/A 23829-2023 tillsynsbegäran mail.docx", "A 23829-2023")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46181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3726-2022</t>
        </is>
      </c>
      <c r="B23" s="1" t="n">
        <v>44586</v>
      </c>
      <c r="C23" s="1" t="n">
        <v>46181</v>
      </c>
      <c r="D23" t="inlineStr">
        <is>
          <t>STOCKHOLMS LÄN</t>
        </is>
      </c>
      <c r="E23" t="inlineStr">
        <is>
          <t>BOTKYRKA</t>
        </is>
      </c>
      <c r="G23" t="n">
        <v>17.1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HYPERLINK("https://klasma.github.io/Logging_0127/artfynd/A 3726-2022 artfynd.xlsx", "A 3726-2022")</f>
        <v/>
      </c>
      <c r="T23">
        <f>HYPERLINK("https://klasma.github.io/Logging_0127/kartor/A 3726-2022 karta.png", "A 3726-2022")</f>
        <v/>
      </c>
      <c r="V23">
        <f>HYPERLINK("https://klasma.github.io/Logging_0127/klagomål/A 3726-2022 FSC-klagomål.docx", "A 3726-2022")</f>
        <v/>
      </c>
      <c r="W23">
        <f>HYPERLINK("https://klasma.github.io/Logging_0127/klagomålsmail/A 3726-2022 FSC-klagomål mail.docx", "A 3726-2022")</f>
        <v/>
      </c>
      <c r="X23">
        <f>HYPERLINK("https://klasma.github.io/Logging_0127/tillsyn/A 3726-2022 tillsynsbegäran.docx", "A 3726-2022")</f>
        <v/>
      </c>
      <c r="Y23">
        <f>HYPERLINK("https://klasma.github.io/Logging_0127/tillsynsmail/A 3726-2022 tillsynsbegäran mail.docx", "A 3726-2022")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46181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46181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46181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46181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46181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46181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46181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46181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46181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46181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46181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46181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46181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46181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46181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46181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46181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28983-2024</t>
        </is>
      </c>
      <c r="B41" s="1" t="n">
        <v>45481.47731481482</v>
      </c>
      <c r="C41" s="1" t="n">
        <v>46181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73155-2021</t>
        </is>
      </c>
      <c r="B42" s="1" t="n">
        <v>44550</v>
      </c>
      <c r="C42" s="1" t="n">
        <v>46181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46181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15905-2022</t>
        </is>
      </c>
      <c r="B44" s="1" t="n">
        <v>44664</v>
      </c>
      <c r="C44" s="1" t="n">
        <v>46181</v>
      </c>
      <c r="D44" t="inlineStr">
        <is>
          <t>STOCKHOLMS LÄN</t>
        </is>
      </c>
      <c r="E44" t="inlineStr">
        <is>
          <t>BOTKYRKA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61514-2022</t>
        </is>
      </c>
      <c r="B45" s="1" t="n">
        <v>44916</v>
      </c>
      <c r="C45" s="1" t="n">
        <v>46181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15692-2023</t>
        </is>
      </c>
      <c r="B46" s="1" t="n">
        <v>45020</v>
      </c>
      <c r="C46" s="1" t="n">
        <v>46181</v>
      </c>
      <c r="D46" t="inlineStr">
        <is>
          <t>STOCKHOLMS LÄN</t>
        </is>
      </c>
      <c r="E46" t="inlineStr">
        <is>
          <t>BOTKYRKA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46181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50474-2025</t>
        </is>
      </c>
      <c r="B48" s="1" t="n">
        <v>45945.36526620371</v>
      </c>
      <c r="C48" s="1" t="n">
        <v>46181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21285-2023</t>
        </is>
      </c>
      <c r="B49" s="1" t="n">
        <v>45062</v>
      </c>
      <c r="C49" s="1" t="n">
        <v>46181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54468-2025</t>
        </is>
      </c>
      <c r="B50" s="1" t="n">
        <v>45965</v>
      </c>
      <c r="C50" s="1" t="n">
        <v>46181</v>
      </c>
      <c r="D50" t="inlineStr">
        <is>
          <t>STOCKHOLMS LÄN</t>
        </is>
      </c>
      <c r="E50" t="inlineStr">
        <is>
          <t>BOTKYRKA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3021-2025</t>
        </is>
      </c>
      <c r="B51" s="1" t="n">
        <v>45678.57962962963</v>
      </c>
      <c r="C51" s="1" t="n">
        <v>46181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46181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12306-2026</t>
        </is>
      </c>
      <c r="B53" s="1" t="n">
        <v>46087.57949074074</v>
      </c>
      <c r="C53" s="1" t="n">
        <v>46181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12294-2026</t>
        </is>
      </c>
      <c r="B54" s="1" t="n">
        <v>46087.55737268519</v>
      </c>
      <c r="C54" s="1" t="n">
        <v>46181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11867-2024</t>
        </is>
      </c>
      <c r="B55" s="1" t="n">
        <v>45376.45421296296</v>
      </c>
      <c r="C55" s="1" t="n">
        <v>46181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46181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46181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22391-2026</t>
        </is>
      </c>
      <c r="B58" s="1" t="n">
        <v>46154.64201388889</v>
      </c>
      <c r="C58" s="1" t="n">
        <v>46181</v>
      </c>
      <c r="D58" t="inlineStr">
        <is>
          <t>STOCKHOLMS LÄN</t>
        </is>
      </c>
      <c r="E58" t="inlineStr">
        <is>
          <t>BOTKYRKA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46181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46181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46181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46181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46181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46181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46181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46181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23716-2026</t>
        </is>
      </c>
      <c r="B67" s="1" t="n">
        <v>46164.46613425926</v>
      </c>
      <c r="C67" s="1" t="n">
        <v>46181</v>
      </c>
      <c r="D67" t="inlineStr">
        <is>
          <t>STOCKHOLMS LÄN</t>
        </is>
      </c>
      <c r="E67" t="inlineStr">
        <is>
          <t>BOTKYRKA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23718-2026</t>
        </is>
      </c>
      <c r="B68" s="1" t="n">
        <v>46164.46760416667</v>
      </c>
      <c r="C68" s="1" t="n">
        <v>46181</v>
      </c>
      <c r="D68" t="inlineStr">
        <is>
          <t>STOCKHOLMS LÄN</t>
        </is>
      </c>
      <c r="E68" t="inlineStr">
        <is>
          <t>BOTKYRKA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23725-2026</t>
        </is>
      </c>
      <c r="B69" s="1" t="n">
        <v>46164.46996527778</v>
      </c>
      <c r="C69" s="1" t="n">
        <v>46181</v>
      </c>
      <c r="D69" t="inlineStr">
        <is>
          <t>STOCKHOLMS LÄN</t>
        </is>
      </c>
      <c r="E69" t="inlineStr">
        <is>
          <t>BOTKYRKA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25217-2024</t>
        </is>
      </c>
      <c r="B70" s="1" t="n">
        <v>45462</v>
      </c>
      <c r="C70" s="1" t="n">
        <v>46181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16483-2023</t>
        </is>
      </c>
      <c r="B71" s="1" t="n">
        <v>45029</v>
      </c>
      <c r="C71" s="1" t="n">
        <v>46181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30622-2024</t>
        </is>
      </c>
      <c r="B72" s="1" t="n">
        <v>45495</v>
      </c>
      <c r="C72" s="1" t="n">
        <v>46181</v>
      </c>
      <c r="D72" t="inlineStr">
        <is>
          <t>STOCKHOLMS LÄN</t>
        </is>
      </c>
      <c r="E72" t="inlineStr">
        <is>
          <t>BOTKYRKA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30925-2023</t>
        </is>
      </c>
      <c r="B73" s="1" t="n">
        <v>45113</v>
      </c>
      <c r="C73" s="1" t="n">
        <v>46181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45869-2022</t>
        </is>
      </c>
      <c r="B74" s="1" t="n">
        <v>44844</v>
      </c>
      <c r="C74" s="1" t="n">
        <v>46181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24799-2026</t>
        </is>
      </c>
      <c r="B75" s="1" t="n">
        <v>46171.85594907407</v>
      </c>
      <c r="C75" s="1" t="n">
        <v>46181</v>
      </c>
      <c r="D75" t="inlineStr">
        <is>
          <t>STOCKHOLMS LÄN</t>
        </is>
      </c>
      <c r="E75" t="inlineStr">
        <is>
          <t>BOTKYRKA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14217-2025</t>
        </is>
      </c>
      <c r="B76" s="1" t="n">
        <v>45740.58534722222</v>
      </c>
      <c r="C76" s="1" t="n">
        <v>46181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25306-2026</t>
        </is>
      </c>
      <c r="B77" s="1" t="n">
        <v>46176.47320601852</v>
      </c>
      <c r="C77" s="1" t="n">
        <v>46181</v>
      </c>
      <c r="D77" t="inlineStr">
        <is>
          <t>STOCKHOLMS LÄN</t>
        </is>
      </c>
      <c r="E77" t="inlineStr">
        <is>
          <t>BOTKYRKA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25315-2026</t>
        </is>
      </c>
      <c r="B78" s="1" t="n">
        <v>46176.48607638889</v>
      </c>
      <c r="C78" s="1" t="n">
        <v>46181</v>
      </c>
      <c r="D78" t="inlineStr">
        <is>
          <t>STOCKHOLMS LÄN</t>
        </is>
      </c>
      <c r="E78" t="inlineStr">
        <is>
          <t>BOTKYRKA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25319-2026</t>
        </is>
      </c>
      <c r="B79" s="1" t="n">
        <v>46176.49130787037</v>
      </c>
      <c r="C79" s="1" t="n">
        <v>46181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61242-2022</t>
        </is>
      </c>
      <c r="B80" s="1" t="n">
        <v>44915</v>
      </c>
      <c r="C80" s="1" t="n">
        <v>46181</v>
      </c>
      <c r="D80" t="inlineStr">
        <is>
          <t>STOCKHOLMS LÄN</t>
        </is>
      </c>
      <c r="E80" t="inlineStr">
        <is>
          <t>BOTKYRKA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11876-2024</t>
        </is>
      </c>
      <c r="B81" s="1" t="n">
        <v>45376.47072916666</v>
      </c>
      <c r="C81" s="1" t="n">
        <v>46181</v>
      </c>
      <c r="D81" t="inlineStr">
        <is>
          <t>STOCKHOLMS LÄN</t>
        </is>
      </c>
      <c r="E81" t="inlineStr">
        <is>
          <t>BOTKYRKA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16142-2024</t>
        </is>
      </c>
      <c r="B82" s="1" t="n">
        <v>45406</v>
      </c>
      <c r="C82" s="1" t="n">
        <v>46181</v>
      </c>
      <c r="D82" t="inlineStr">
        <is>
          <t>STOCKHOLMS LÄN</t>
        </is>
      </c>
      <c r="E82" t="inlineStr">
        <is>
          <t>BOTKYRKA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2026-06-08T10:38:35Z</dcterms:created>
  <dcterms:modified xmlns:dcterms="http://purl.org/dc/terms/" xmlns:xsi="http://www.w3.org/2001/XMLSchema-instance" xsi:type="dcterms:W3CDTF">2026-06-08T10:38:35Z</dcterms:modified>
</cp:coreProperties>
</file>