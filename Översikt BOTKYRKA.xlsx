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46281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46281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46281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46281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46281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12818-2026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46092</v>
      </c>
      <c r="E7" s="1" t="n">
        <v>46281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0.9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13</v>
      </c>
      <c r="U7" t="n">
        <v>3</v>
      </c>
      <c r="V7" s="2" t="inlineStr">
        <is>
          <t>Motaggsvamp
Vintertagging
Blomkålssvamp
Blåmossa
Grovticka
Nattskärra
Tofsmes
Kungsfågel</t>
        </is>
      </c>
      <c r="W7">
        <f>HYPERLINK("https://klasma.github.io/Logging_0127/artfynd/A 12818-2026 artfynd.xlsx", "A 12818-2026")</f>
        <v/>
      </c>
      <c r="X7">
        <f>HYPERLINK("https://klasma.github.io/Logging_0127/kartor/A 12818-2026 karta.png", "A 12818-2026")</f>
        <v/>
      </c>
      <c r="Y7">
        <f>HYPERLINK("https://klasma.github.io/Logging_0127/kartor_geotiff/A 12818-2026 georefererad karta.tif", "A 12818-2026")</f>
        <v/>
      </c>
      <c r="AA7">
        <f>HYPERLINK("https://klasma.github.io/Logging_0127/klagomål/A 12818-2026 FSC-klagomål.docx", "A 12818-2026")</f>
        <v/>
      </c>
      <c r="AB7">
        <f>HYPERLINK("https://klasma.github.io/Logging_0127/klagomålsmail/A 12818-2026 FSC-klagomål mail.docx", "A 12818-2026")</f>
        <v/>
      </c>
      <c r="AC7">
        <f>HYPERLINK("https://klasma.github.io/Logging_0127/tillsyn/A 12818-2026 tillsynsbegäran.docx", "A 12818-2026")</f>
        <v/>
      </c>
      <c r="AD7">
        <f>HYPERLINK("https://klasma.github.io/Logging_0127/tillsynsmail/A 12818-2026 tillsynsbegäran mail.docx", "A 12818-2026")</f>
        <v/>
      </c>
      <c r="AE7">
        <f>HYPERLINK("https://klasma.github.io/Logging_0127/fåglar/A 12818-2026 prioriterade fågelarter.docx", "A 12818-2026")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46281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46281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46281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46281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46281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46281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46281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46281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18100-2022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44684</v>
      </c>
      <c r="E16" s="1" t="n">
        <v>46281</v>
      </c>
      <c r="F16" t="inlineStr">
        <is>
          <t>STOCKHOLMS LÄN</t>
        </is>
      </c>
      <c r="G16" t="inlineStr">
        <is>
          <t>BOTKYRKA</t>
        </is>
      </c>
      <c r="I16" t="n">
        <v>3.1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Svart trolldruva
Gullviva</t>
        </is>
      </c>
      <c r="W16">
        <f>HYPERLINK("https://klasma.github.io/Logging_0127/artfynd/A 18100-2022 artfynd.xlsx", "A 18100-2022")</f>
        <v/>
      </c>
      <c r="X16">
        <f>HYPERLINK("https://klasma.github.io/Logging_0127/kartor/A 18100-2022 karta.png", "A 18100-2022")</f>
        <v/>
      </c>
      <c r="Y16">
        <f>HYPERLINK("https://klasma.github.io/Logging_0127/kartor_geotiff/A 18100-2022 georefererad karta.tif", "A 18100-2022")</f>
        <v/>
      </c>
      <c r="AA16">
        <f>HYPERLINK("https://klasma.github.io/Logging_0127/klagomål/A 18100-2022 FSC-klagomål.docx", "A 18100-2022")</f>
        <v/>
      </c>
      <c r="AB16">
        <f>HYPERLINK("https://klasma.github.io/Logging_0127/klagomålsmail/A 18100-2022 FSC-klagomål mail.docx", "A 18100-2022")</f>
        <v/>
      </c>
      <c r="AC16">
        <f>HYPERLINK("https://klasma.github.io/Logging_0127/tillsyn/A 18100-2022 tillsynsbegäran.docx", "A 18100-2022")</f>
        <v/>
      </c>
      <c r="AD16">
        <f>HYPERLINK("https://klasma.github.io/Logging_0127/tillsynsmail/A 18100-2022 tillsynsbegäran mail.docx", "A 18100-2022")</f>
        <v/>
      </c>
    </row>
    <row r="17" ht="15" customHeight="1">
      <c r="A17" t="inlineStr">
        <is>
          <t>A 30378-2024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45491</v>
      </c>
      <c r="E17" s="1" t="n">
        <v>46281</v>
      </c>
      <c r="F17" t="inlineStr">
        <is>
          <t>STOCKHOLMS LÄN</t>
        </is>
      </c>
      <c r="G17" t="inlineStr">
        <is>
          <t>BOTKYRKA</t>
        </is>
      </c>
      <c r="I17" t="n">
        <v>0.3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Mindre tåtelsmygare
Svinrot</t>
        </is>
      </c>
      <c r="W17">
        <f>HYPERLINK("https://klasma.github.io/Logging_0127/artfynd/A 30378-2024 artfynd.xlsx", "A 30378-2024")</f>
        <v/>
      </c>
      <c r="X17">
        <f>HYPERLINK("https://klasma.github.io/Logging_0127/kartor/A 30378-2024 karta.png", "A 30378-2024")</f>
        <v/>
      </c>
      <c r="Y17">
        <f>HYPERLINK("https://klasma.github.io/Logging_0127/kartor_geotiff/A 30378-2024 georefererad karta.tif", "A 30378-2024")</f>
        <v/>
      </c>
      <c r="AA17">
        <f>HYPERLINK("https://klasma.github.io/Logging_0127/klagomål/A 30378-2024 FSC-klagomål.docx", "A 30378-2024")</f>
        <v/>
      </c>
      <c r="AB17">
        <f>HYPERLINK("https://klasma.github.io/Logging_0127/klagomålsmail/A 30378-2024 FSC-klagomål mail.docx", "A 30378-2024")</f>
        <v/>
      </c>
      <c r="AC17">
        <f>HYPERLINK("https://klasma.github.io/Logging_0127/tillsyn/A 30378-2024 tillsynsbegäran.docx", "A 30378-2024")</f>
        <v/>
      </c>
      <c r="AD17">
        <f>HYPERLINK("https://klasma.github.io/Logging_0127/tillsynsmail/A 30378-2024 tillsynsbegäran mail.docx", "A 30378-2024")</f>
        <v/>
      </c>
    </row>
    <row r="18" ht="15" customHeight="1">
      <c r="A18" t="inlineStr">
        <is>
          <t>A 15905-2022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44664</v>
      </c>
      <c r="E18" s="1" t="n">
        <v>46281</v>
      </c>
      <c r="F18" t="inlineStr">
        <is>
          <t>STOCKHOLMS LÄN</t>
        </is>
      </c>
      <c r="G18" t="inlineStr">
        <is>
          <t>BOTKYRKA</t>
        </is>
      </c>
      <c r="I18" t="n">
        <v>11.2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Motaggsvamp
Svartvit taggsvamp</t>
        </is>
      </c>
      <c r="W18">
        <f>HYPERLINK("https://klasma.github.io/Logging_0127/artfynd/A 15905-2022 artfynd.xlsx", "A 15905-2022")</f>
        <v/>
      </c>
      <c r="X18">
        <f>HYPERLINK("https://klasma.github.io/Logging_0127/kartor/A 15905-2022 karta.png", "A 15905-2022")</f>
        <v/>
      </c>
      <c r="Y18">
        <f>HYPERLINK("https://klasma.github.io/Logging_0127/kartor_geotiff/A 15905-2022 georefererad karta.tif", "A 15905-2022")</f>
        <v/>
      </c>
      <c r="AA18">
        <f>HYPERLINK("https://klasma.github.io/Logging_0127/klagomål/A 15905-2022 FSC-klagomål.docx", "A 15905-2022")</f>
        <v/>
      </c>
      <c r="AB18">
        <f>HYPERLINK("https://klasma.github.io/Logging_0127/klagomålsmail/A 15905-2022 FSC-klagomål mail.docx", "A 15905-2022")</f>
        <v/>
      </c>
      <c r="AC18">
        <f>HYPERLINK("https://klasma.github.io/Logging_0127/tillsyn/A 15905-2022 tillsynsbegäran.docx", "A 15905-2022")</f>
        <v/>
      </c>
      <c r="AD18">
        <f>HYPERLINK("https://klasma.github.io/Logging_0127/tillsynsmail/A 15905-2022 tillsynsbegäran mail.docx", "A 15905-2022")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46281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Mindre märgborre</t>
        </is>
      </c>
      <c r="W19">
        <f>HYPERLINK("https://klasma.github.io/Logging_0127/artfynd/A 60406-2025 artfynd.xlsx", "A 60406-2025")</f>
        <v/>
      </c>
      <c r="X19">
        <f>HYPERLINK("https://klasma.github.io/Logging_0127/kartor/A 60406-2025 karta.png", "A 60406-2025")</f>
        <v/>
      </c>
      <c r="Y19">
        <f>HYPERLINK("https://klasma.github.io/Logging_0127/kartor_geotiff/A 60406-2025 georefererad karta.tif", "A 60406-2025")</f>
        <v/>
      </c>
      <c r="AA19">
        <f>HYPERLINK("https://klasma.github.io/Logging_0127/klagomål/A 60406-2025 FSC-klagomål.docx", "A 60406-2025")</f>
        <v/>
      </c>
      <c r="AB19">
        <f>HYPERLINK("https://klasma.github.io/Logging_0127/klagomålsmail/A 60406-2025 FSC-klagomål mail.docx", "A 60406-2025")</f>
        <v/>
      </c>
      <c r="AC19">
        <f>HYPERLINK("https://klasma.github.io/Logging_0127/tillsyn/A 60406-2025 tillsynsbegäran.docx", "A 60406-2025")</f>
        <v/>
      </c>
      <c r="AD19">
        <f>HYPERLINK("https://klasma.github.io/Logging_0127/tillsynsmail/A 60406-2025 tillsynsbegäran mail.docx", "A 60406-2025")</f>
        <v/>
      </c>
    </row>
    <row r="20" ht="15" customHeight="1">
      <c r="A20" t="inlineStr">
        <is>
          <t>A 24799-2026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46171</v>
      </c>
      <c r="E20" s="1" t="n">
        <v>46281</v>
      </c>
      <c r="F20" t="inlineStr">
        <is>
          <t>STOCKHOLMS LÄN</t>
        </is>
      </c>
      <c r="G20" t="inlineStr">
        <is>
          <t>BOTKYRKA</t>
        </is>
      </c>
      <c r="I20" t="n">
        <v>1.7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märgborre
Spillkråka</t>
        </is>
      </c>
      <c r="W20">
        <f>HYPERLINK("https://klasma.github.io/Logging_0127/artfynd/A 24799-2026 artfynd.xlsx", "A 24799-2026")</f>
        <v/>
      </c>
      <c r="X20">
        <f>HYPERLINK("https://klasma.github.io/Logging_0127/kartor/A 24799-2026 karta.png", "A 24799-2026")</f>
        <v/>
      </c>
      <c r="Y20">
        <f>HYPERLINK("https://klasma.github.io/Logging_0127/kartor_geotiff/A 24799-2026 georefererad karta.tif", "A 24799-2026")</f>
        <v/>
      </c>
      <c r="AA20">
        <f>HYPERLINK("https://klasma.github.io/Logging_0127/klagomål/A 24799-2026 FSC-klagomål.docx", "A 24799-2026")</f>
        <v/>
      </c>
      <c r="AB20">
        <f>HYPERLINK("https://klasma.github.io/Logging_0127/klagomålsmail/A 24799-2026 FSC-klagomål mail.docx", "A 24799-2026")</f>
        <v/>
      </c>
      <c r="AC20">
        <f>HYPERLINK("https://klasma.github.io/Logging_0127/tillsyn/A 24799-2026 tillsynsbegäran.docx", "A 24799-2026")</f>
        <v/>
      </c>
      <c r="AD20">
        <f>HYPERLINK("https://klasma.github.io/Logging_0127/tillsynsmail/A 24799-2026 tillsynsbegäran mail.docx", "A 24799-2026")</f>
        <v/>
      </c>
      <c r="AE20">
        <f>HYPERLINK("https://klasma.github.io/Logging_0127/fåglar/A 24799-2026 prioriterade fågelarter.docx", "A 24799-2026")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46281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46281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46281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12305-2026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46087</v>
      </c>
      <c r="E24" s="1" t="n">
        <v>46281</v>
      </c>
      <c r="F24" t="inlineStr">
        <is>
          <t>STOCKHOLMS LÄN</t>
        </is>
      </c>
      <c r="G24" t="inlineStr">
        <is>
          <t>BOTKYRKA</t>
        </is>
      </c>
      <c r="H24" t="inlineStr">
        <is>
          <t>Övriga Aktiebolag</t>
        </is>
      </c>
      <c r="I24" t="n">
        <v>2.4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HYPERLINK("https://klasma.github.io/Logging_0127/artfynd/A 12305-2026 artfynd.xlsx", "A 12305-2026")</f>
        <v/>
      </c>
      <c r="X24">
        <f>HYPERLINK("https://klasma.github.io/Logging_0127/kartor/A 12305-2026 karta.png", "A 12305-2026")</f>
        <v/>
      </c>
      <c r="Y24">
        <f>HYPERLINK("https://klasma.github.io/Logging_0127/kartor_geotiff/A 12305-2026 georefererad karta.tif", "A 12305-2026")</f>
        <v/>
      </c>
      <c r="AA24">
        <f>HYPERLINK("https://klasma.github.io/Logging_0127/klagomål/A 12305-2026 FSC-klagomål.docx", "A 12305-2026")</f>
        <v/>
      </c>
      <c r="AB24">
        <f>HYPERLINK("https://klasma.github.io/Logging_0127/klagomålsmail/A 12305-2026 FSC-klagomål mail.docx", "A 12305-2026")</f>
        <v/>
      </c>
      <c r="AC24">
        <f>HYPERLINK("https://klasma.github.io/Logging_0127/tillsyn/A 12305-2026 tillsynsbegäran.docx", "A 12305-2026")</f>
        <v/>
      </c>
      <c r="AD24">
        <f>HYPERLINK("https://klasma.github.io/Logging_0127/tillsynsmail/A 12305-2026 tillsynsbegäran mail.docx", "A 12305-2026")</f>
        <v/>
      </c>
      <c r="AE24">
        <f>HYPERLINK("https://klasma.github.io/Logging_0127/fåglar/A 12305-2026 prioriterade fågelarter.docx", "A 12305-2026")</f>
        <v/>
      </c>
    </row>
    <row r="25" ht="15" customHeight="1">
      <c r="A25" t="inlineStr">
        <is>
          <t>A 12590-2026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46090</v>
      </c>
      <c r="E25" s="1" t="n">
        <v>46281</v>
      </c>
      <c r="F25" t="inlineStr">
        <is>
          <t>STOCKHOLMS LÄN</t>
        </is>
      </c>
      <c r="G25" t="inlineStr">
        <is>
          <t>BOTKYRKA</t>
        </is>
      </c>
      <c r="H25" t="inlineStr">
        <is>
          <t>Övriga Aktiebolag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hackspett</t>
        </is>
      </c>
      <c r="W25">
        <f>HYPERLINK("https://klasma.github.io/Logging_0127/artfynd/A 12590-2026 artfynd.xlsx", "A 12590-2026")</f>
        <v/>
      </c>
      <c r="X25">
        <f>HYPERLINK("https://klasma.github.io/Logging_0127/kartor/A 12590-2026 karta.png", "A 12590-2026")</f>
        <v/>
      </c>
      <c r="Y25">
        <f>HYPERLINK("https://klasma.github.io/Logging_0127/kartor_geotiff/A 12590-2026 georefererad karta.tif", "A 12590-2026")</f>
        <v/>
      </c>
      <c r="AA25">
        <f>HYPERLINK("https://klasma.github.io/Logging_0127/klagomål/A 12590-2026 FSC-klagomål.docx", "A 12590-2026")</f>
        <v/>
      </c>
      <c r="AB25">
        <f>HYPERLINK("https://klasma.github.io/Logging_0127/klagomålsmail/A 12590-2026 FSC-klagomål mail.docx", "A 12590-2026")</f>
        <v/>
      </c>
      <c r="AC25">
        <f>HYPERLINK("https://klasma.github.io/Logging_0127/tillsyn/A 12590-2026 tillsynsbegäran.docx", "A 12590-2026")</f>
        <v/>
      </c>
      <c r="AD25">
        <f>HYPERLINK("https://klasma.github.io/Logging_0127/tillsynsmail/A 12590-2026 tillsynsbegäran mail.docx", "A 12590-2026")</f>
        <v/>
      </c>
      <c r="AE25">
        <f>HYPERLINK("https://klasma.github.io/Logging_0127/fåglar/A 12590-2026 prioriterade fågelarter.docx", "A 12590-2026")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46281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12842-2026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46092</v>
      </c>
      <c r="E27" s="1" t="n">
        <v>46281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Fyrflikig jordstjärna</t>
        </is>
      </c>
      <c r="W27">
        <f>HYPERLINK("https://klasma.github.io/Logging_0127/artfynd/A 12842-2026 artfynd.xlsx", "A 12842-2026")</f>
        <v/>
      </c>
      <c r="X27">
        <f>HYPERLINK("https://klasma.github.io/Logging_0127/kartor/A 12842-2026 karta.png", "A 12842-2026")</f>
        <v/>
      </c>
      <c r="Y27">
        <f>HYPERLINK("https://klasma.github.io/Logging_0127/kartor_geotiff/A 12842-2026 georefererad karta.tif", "A 12842-2026")</f>
        <v/>
      </c>
      <c r="AA27">
        <f>HYPERLINK("https://klasma.github.io/Logging_0127/klagomål/A 12842-2026 FSC-klagomål.docx", "A 12842-2026")</f>
        <v/>
      </c>
      <c r="AB27">
        <f>HYPERLINK("https://klasma.github.io/Logging_0127/klagomålsmail/A 12842-2026 FSC-klagomål mail.docx", "A 12842-2026")</f>
        <v/>
      </c>
      <c r="AC27">
        <f>HYPERLINK("https://klasma.github.io/Logging_0127/tillsyn/A 12842-2026 tillsynsbegäran.docx", "A 12842-2026")</f>
        <v/>
      </c>
      <c r="AD27">
        <f>HYPERLINK("https://klasma.github.io/Logging_0127/tillsynsmail/A 12842-2026 tillsynsbegäran mail.docx", "A 12842-2026")</f>
        <v/>
      </c>
    </row>
    <row r="28" ht="15" customHeight="1">
      <c r="A28" t="inlineStr">
        <is>
          <t>A 61514-2022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44916</v>
      </c>
      <c r="E28" s="1" t="n">
        <v>46281</v>
      </c>
      <c r="F28" t="inlineStr">
        <is>
          <t>STOCKHOLMS LÄN</t>
        </is>
      </c>
      <c r="G28" t="inlineStr">
        <is>
          <t>BOTKYRKA</t>
        </is>
      </c>
      <c r="I28" t="n">
        <v>1.3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Vanlig groda</t>
        </is>
      </c>
      <c r="W28">
        <f>HYPERLINK("https://klasma.github.io/Logging_0127/artfynd/A 61514-2022 artfynd.xlsx", "A 61514-2022")</f>
        <v/>
      </c>
      <c r="X28">
        <f>HYPERLINK("https://klasma.github.io/Logging_0127/kartor/A 61514-2022 karta.png", "A 61514-2022")</f>
        <v/>
      </c>
      <c r="Y28">
        <f>HYPERLINK("https://klasma.github.io/Logging_0127/kartor_geotiff/A 61514-2022 georefererad karta.tif", "A 61514-2022")</f>
        <v/>
      </c>
      <c r="AA28">
        <f>HYPERLINK("https://klasma.github.io/Logging_0127/klagomål/A 61514-2022 FSC-klagomål.docx", "A 61514-2022")</f>
        <v/>
      </c>
      <c r="AB28">
        <f>HYPERLINK("https://klasma.github.io/Logging_0127/klagomålsmail/A 61514-2022 FSC-klagomål mail.docx", "A 61514-2022")</f>
        <v/>
      </c>
      <c r="AC28">
        <f>HYPERLINK("https://klasma.github.io/Logging_0127/tillsyn/A 61514-2022 tillsynsbegäran.docx", "A 61514-2022")</f>
        <v/>
      </c>
      <c r="AD28">
        <f>HYPERLINK("https://klasma.github.io/Logging_0127/tillsynsmail/A 61514-2022 tillsynsbegäran mail.docx", "A 61514-2022")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46281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Stare</t>
        </is>
      </c>
      <c r="W29">
        <f>HYPERLINK("https://klasma.github.io/Logging_0127/artfynd/A 14214-2025 artfynd.xlsx", "A 14214-2025")</f>
        <v/>
      </c>
      <c r="X29">
        <f>HYPERLINK("https://klasma.github.io/Logging_0127/kartor/A 14214-2025 karta.png", "A 14214-2025")</f>
        <v/>
      </c>
      <c r="Y29">
        <f>HYPERLINK("https://klasma.github.io/Logging_0127/kartor_geotiff/A 14214-2025 georefererad karta.tif", "A 14214-2025")</f>
        <v/>
      </c>
      <c r="AA29">
        <f>HYPERLINK("https://klasma.github.io/Logging_0127/klagomål/A 14214-2025 FSC-klagomål.docx", "A 14214-2025")</f>
        <v/>
      </c>
      <c r="AB29">
        <f>HYPERLINK("https://klasma.github.io/Logging_0127/klagomålsmail/A 14214-2025 FSC-klagomål mail.docx", "A 14214-2025")</f>
        <v/>
      </c>
      <c r="AC29">
        <f>HYPERLINK("https://klasma.github.io/Logging_0127/tillsyn/A 14214-2025 tillsynsbegäran.docx", "A 14214-2025")</f>
        <v/>
      </c>
      <c r="AD29">
        <f>HYPERLINK("https://klasma.github.io/Logging_0127/tillsynsmail/A 14214-2025 tillsynsbegäran mail.docx", "A 14214-2025")</f>
        <v/>
      </c>
      <c r="AE29">
        <f>HYPERLINK("https://klasma.github.io/Logging_0127/fåglar/A 14214-2025 prioriterade fågelarter.docx", "A 14214-2025")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46281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46281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15690-2023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45020</v>
      </c>
      <c r="E32" s="1" t="n">
        <v>46281</v>
      </c>
      <c r="F32" t="inlineStr">
        <is>
          <t>STOCKHOLMS LÄN</t>
        </is>
      </c>
      <c r="G32" t="inlineStr">
        <is>
          <t>BOTKYRKA</t>
        </is>
      </c>
      <c r="I32" t="n">
        <v>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Gullpudra</t>
        </is>
      </c>
      <c r="W32">
        <f>HYPERLINK("https://klasma.github.io/Logging_0127/artfynd/A 15690-2023 artfynd.xlsx", "A 15690-2023")</f>
        <v/>
      </c>
      <c r="X32">
        <f>HYPERLINK("https://klasma.github.io/Logging_0127/kartor/A 15690-2023 karta.png", "A 15690-2023")</f>
        <v/>
      </c>
      <c r="Y32">
        <f>HYPERLINK("https://klasma.github.io/Logging_0127/kartor_geotiff/A 15690-2023 georefererad karta.tif", "A 15690-2023")</f>
        <v/>
      </c>
      <c r="AA32">
        <f>HYPERLINK("https://klasma.github.io/Logging_0127/klagomål/A 15690-2023 FSC-klagomål.docx", "A 15690-2023")</f>
        <v/>
      </c>
      <c r="AB32">
        <f>HYPERLINK("https://klasma.github.io/Logging_0127/klagomålsmail/A 15690-2023 FSC-klagomål mail.docx", "A 15690-2023")</f>
        <v/>
      </c>
      <c r="AC32">
        <f>HYPERLINK("https://klasma.github.io/Logging_0127/tillsyn/A 15690-2023 tillsynsbegäran.docx", "A 15690-2023")</f>
        <v/>
      </c>
      <c r="AD32">
        <f>HYPERLINK("https://klasma.github.io/Logging_0127/tillsynsmail/A 15690-2023 tillsynsbegäran mail.docx", "A 15690-2023")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46281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46281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46281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52035-2021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44463</v>
      </c>
      <c r="E36" s="1" t="n">
        <v>46281</v>
      </c>
      <c r="F36" t="inlineStr">
        <is>
          <t>STOCKHOLMS LÄN</t>
        </is>
      </c>
      <c r="G36" t="inlineStr">
        <is>
          <t>BOTKYRKA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46281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46281</v>
      </c>
      <c r="F38" t="inlineStr">
        <is>
          <t>STOCKHOLMS LÄN</t>
        </is>
      </c>
      <c r="G38" t="inlineStr">
        <is>
          <t>BOTKYRKA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46281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73772-2021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44552</v>
      </c>
      <c r="E40" s="1" t="n">
        <v>46281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46281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20649-2022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44700</v>
      </c>
      <c r="E42" s="1" t="n">
        <v>46281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46281</v>
      </c>
      <c r="F43" t="inlineStr">
        <is>
          <t>STOCKHOLMS LÄN</t>
        </is>
      </c>
      <c r="G43" t="inlineStr">
        <is>
          <t>BOTKYRKA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6059-2022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44599</v>
      </c>
      <c r="E44" s="1" t="n">
        <v>46281</v>
      </c>
      <c r="F44" t="inlineStr">
        <is>
          <t>STOCKHOLMS LÄN</t>
        </is>
      </c>
      <c r="G44" t="inlineStr">
        <is>
          <t>BOTKYRKA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8528-2024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45355</v>
      </c>
      <c r="E45" s="1" t="n">
        <v>46281</v>
      </c>
      <c r="F45" t="inlineStr">
        <is>
          <t>STOCKHOLMS LÄN</t>
        </is>
      </c>
      <c r="G45" t="inlineStr">
        <is>
          <t>BOTKYRKA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44586</v>
      </c>
      <c r="E46" s="1" t="n">
        <v>46281</v>
      </c>
      <c r="F46" t="inlineStr">
        <is>
          <t>STOCKHOLMS LÄN</t>
        </is>
      </c>
      <c r="G46" t="inlineStr">
        <is>
          <t>BOTKYRKA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12306-2026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46281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46087</v>
      </c>
      <c r="E48" s="1" t="n">
        <v>46281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73155-2021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46281</v>
      </c>
      <c r="F49" t="inlineStr">
        <is>
          <t>STOCKHOLMS LÄN</t>
        </is>
      </c>
      <c r="G49" t="inlineStr">
        <is>
          <t>BOTKYRKA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45020</v>
      </c>
      <c r="E50" s="1" t="n">
        <v>46281</v>
      </c>
      <c r="F50" t="inlineStr">
        <is>
          <t>STOCKHOLMS LÄN</t>
        </is>
      </c>
      <c r="G50" t="inlineStr">
        <is>
          <t>BOTKYRKA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14202-2025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45740</v>
      </c>
      <c r="E51" s="1" t="n">
        <v>46281</v>
      </c>
      <c r="F51" t="inlineStr">
        <is>
          <t>STOCKHOLMS LÄN</t>
        </is>
      </c>
      <c r="G51" t="inlineStr">
        <is>
          <t>BOTKYRKA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54468-2025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46281</v>
      </c>
      <c r="F52" t="inlineStr">
        <is>
          <t>STOCKHOLMS LÄN</t>
        </is>
      </c>
      <c r="G52" t="inlineStr">
        <is>
          <t>BOTKYRKA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9032-2023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46281</v>
      </c>
      <c r="F53" t="inlineStr">
        <is>
          <t>STOCKHOLMS LÄN</t>
        </is>
      </c>
      <c r="G53" t="inlineStr">
        <is>
          <t>BOTKYRKA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25217-2024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45462</v>
      </c>
      <c r="E54" s="1" t="n">
        <v>46281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21285-2023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45062</v>
      </c>
      <c r="E55" s="1" t="n">
        <v>46281</v>
      </c>
      <c r="F55" t="inlineStr">
        <is>
          <t>STOCKHOLMS LÄN</t>
        </is>
      </c>
      <c r="G55" t="inlineStr">
        <is>
          <t>BOTKYRKA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22391-2026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46154</v>
      </c>
      <c r="E56" s="1" t="n">
        <v>46281</v>
      </c>
      <c r="F56" t="inlineStr">
        <is>
          <t>STOCKHOLMS LÄN</t>
        </is>
      </c>
      <c r="G56" t="inlineStr">
        <is>
          <t>BOTKYRKA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45678</v>
      </c>
      <c r="E57" s="1" t="n">
        <v>46281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46164</v>
      </c>
      <c r="E58" s="1" t="n">
        <v>46281</v>
      </c>
      <c r="F58" t="inlineStr">
        <is>
          <t>STOCKHOLMS LÄN</t>
        </is>
      </c>
      <c r="G58" t="inlineStr">
        <is>
          <t>BOTKYRKA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46164</v>
      </c>
      <c r="E59" s="1" t="n">
        <v>46281</v>
      </c>
      <c r="F59" t="inlineStr">
        <is>
          <t>STOCKHOLMS LÄN</t>
        </is>
      </c>
      <c r="G59" t="inlineStr">
        <is>
          <t>BOTKYRKA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23716-2026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46164</v>
      </c>
      <c r="E60" s="1" t="n">
        <v>46281</v>
      </c>
      <c r="F60" t="inlineStr">
        <is>
          <t>STOCKHOLMS LÄN</t>
        </is>
      </c>
      <c r="G60" t="inlineStr">
        <is>
          <t>BOTKYRKA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45376</v>
      </c>
      <c r="E61" s="1" t="n">
        <v>46281</v>
      </c>
      <c r="F61" t="inlineStr">
        <is>
          <t>STOCKHOLMS LÄN</t>
        </is>
      </c>
      <c r="G61" t="inlineStr">
        <is>
          <t>BOTKYRKA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73151-2021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46281</v>
      </c>
      <c r="F62" t="inlineStr">
        <is>
          <t>STOCKHOLMS LÄN</t>
        </is>
      </c>
      <c r="G62" t="inlineStr">
        <is>
          <t>BOTKYRKA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73194-2021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44550</v>
      </c>
      <c r="E63" s="1" t="n">
        <v>46281</v>
      </c>
      <c r="F63" t="inlineStr">
        <is>
          <t>STOCKHOLMS LÄN</t>
        </is>
      </c>
      <c r="G63" t="inlineStr">
        <is>
          <t>BOTKYRKA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16483-2023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45029</v>
      </c>
      <c r="E64" s="1" t="n">
        <v>46281</v>
      </c>
      <c r="F64" t="inlineStr">
        <is>
          <t>STOCKHOLMS LÄN</t>
        </is>
      </c>
      <c r="G64" t="inlineStr">
        <is>
          <t>BOTKYRKA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27717-2026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46190</v>
      </c>
      <c r="E65" s="1" t="n">
        <v>46281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30622-2024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45495</v>
      </c>
      <c r="E66" s="1" t="n">
        <v>46281</v>
      </c>
      <c r="F66" t="inlineStr">
        <is>
          <t>STOCKHOLMS LÄN</t>
        </is>
      </c>
      <c r="G66" t="inlineStr">
        <is>
          <t>BOTKYRKA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46281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46258</v>
      </c>
      <c r="E68" s="1" t="n">
        <v>46281</v>
      </c>
      <c r="F68" t="inlineStr">
        <is>
          <t>STOCKHOLMS LÄN</t>
        </is>
      </c>
      <c r="G68" t="inlineStr">
        <is>
          <t>BOTKYRKA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46281</v>
      </c>
      <c r="F69" t="inlineStr">
        <is>
          <t>STOCKHOLMS LÄN</t>
        </is>
      </c>
      <c r="G69" t="inlineStr">
        <is>
          <t>BOTKYRKA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45740</v>
      </c>
      <c r="E70" s="1" t="n">
        <v>46281</v>
      </c>
      <c r="F70" t="inlineStr">
        <is>
          <t>STOCKHOLMS LÄN</t>
        </is>
      </c>
      <c r="G70" t="inlineStr">
        <is>
          <t>BOTKYRKA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46281</v>
      </c>
      <c r="F71" t="inlineStr">
        <is>
          <t>STOCKHOLMS LÄN</t>
        </is>
      </c>
      <c r="G71" t="inlineStr">
        <is>
          <t>BOTKYRKA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46281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46281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2026-09-16T02:00:47Z</dcterms:created>
  <dcterms:modified xmlns:dcterms="http://purl.org/dc/terms/" xmlns:xsi="http://www.w3.org/2001/XMLSchema-instance" xsi:type="dcterms:W3CDTF">2026-09-16T02:00:47Z</dcterms:modified>
</cp:coreProperties>
</file>