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46226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t="n">
        <v>20</v>
      </c>
      <c r="V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W2">
        <f>HYPERLINK("https://klasma.github.io/Logging_0127/artfynd/A 43913-2021 artfynd.xlsx", "A 43913-2021")</f>
        <v/>
      </c>
      <c r="X2">
        <f>HYPERLINK("https://klasma.github.io/Logging_0127/kartor/A 43913-2021 karta.png", "A 43913-2021")</f>
        <v/>
      </c>
      <c r="Y2">
        <f>HYPERLINK("https://klasma.github.io/Logging_0127/kartor_geotiff/A 43913-2021 georefererad karta.tif", "A 43913-2021")</f>
        <v/>
      </c>
      <c r="Z2">
        <f>HYPERLINK("https://klasma.github.io/Logging_0127/knärot/A 43913-2021 karta knärot.png", "A 43913-2021")</f>
        <v/>
      </c>
      <c r="AA2">
        <f>HYPERLINK("https://klasma.github.io/Logging_0127/klagomål/A 43913-2021 FSC-klagomål.docx", "A 43913-2021")</f>
        <v/>
      </c>
      <c r="AB2">
        <f>HYPERLINK("https://klasma.github.io/Logging_0127/klagomålsmail/A 43913-2021 FSC-klagomål mail.docx", "A 43913-2021")</f>
        <v/>
      </c>
      <c r="AC2">
        <f>HYPERLINK("https://klasma.github.io/Logging_0127/tillsyn/A 43913-2021 tillsynsbegäran.docx", "A 43913-2021")</f>
        <v/>
      </c>
      <c r="AD2">
        <f>HYPERLINK("https://klasma.github.io/Logging_0127/tillsynsmail/A 43913-2021 tillsynsbegäran mail.docx", "A 43913-2021")</f>
        <v/>
      </c>
      <c r="AE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46226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t="n">
        <v>3</v>
      </c>
      <c r="V3" s="2" t="inlineStr">
        <is>
          <t>Mindre bastardsvärmare
Sexfläckig bastardsvärmare
Almsnabbvinge
Mindre tåtelsmygare
Igelkottsröksvamp
Mandelriska
Sotriska
Mattlummer
Vanlig groda
Vanlig padda</t>
        </is>
      </c>
      <c r="W3">
        <f>HYPERLINK("https://klasma.github.io/Logging_0127/artfynd/A 24599-2022 artfynd.xlsx", "A 24599-2022")</f>
        <v/>
      </c>
      <c r="X3">
        <f>HYPERLINK("https://klasma.github.io/Logging_0127/kartor/A 24599-2022 karta.png", "A 24599-2022")</f>
        <v/>
      </c>
      <c r="Y3">
        <f>HYPERLINK("https://klasma.github.io/Logging_0127/kartor_geotiff/A 24599-2022 georefererad karta.tif", "A 24599-2022")</f>
        <v/>
      </c>
      <c r="AA3">
        <f>HYPERLINK("https://klasma.github.io/Logging_0127/klagomål/A 24599-2022 FSC-klagomål.docx", "A 24599-2022")</f>
        <v/>
      </c>
      <c r="AB3">
        <f>HYPERLINK("https://klasma.github.io/Logging_0127/klagomålsmail/A 24599-2022 FSC-klagomål mail.docx", "A 24599-2022")</f>
        <v/>
      </c>
      <c r="AC3">
        <f>HYPERLINK("https://klasma.github.io/Logging_0127/tillsyn/A 24599-2022 tillsynsbegäran.docx", "A 24599-2022")</f>
        <v/>
      </c>
      <c r="AD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46226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46226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46226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t="n">
        <v>0</v>
      </c>
      <c r="V6" s="2" t="inlineStr">
        <is>
          <t>Fyrflikig jordstjärna
Orange taggsvamp
Skarp dropptaggsvamp
Talltita
Björksplintborre
Grön sköldmossa
Jättesvampmal
Rävticka
Mattlummer</t>
        </is>
      </c>
      <c r="W6">
        <f>HYPERLINK("https://klasma.github.io/Logging_0127/artfynd/S 254-2025 artfynd.xlsx", "S 254-2025")</f>
        <v/>
      </c>
      <c r="X6">
        <f>HYPERLINK("https://klasma.github.io/Logging_0127/kartor/S 254-2025 karta.png", "S 254-2025")</f>
        <v/>
      </c>
      <c r="Y6">
        <f>HYPERLINK("https://klasma.github.io/Logging_0127/kartor_geotiff/S 254-2025 georefererad karta.tif", "S 254-2025")</f>
        <v/>
      </c>
      <c r="AA6">
        <f>HYPERLINK("https://klasma.github.io/Logging_0127/klagomål/S 254-2025 FSC-klagomål.docx", "S 254-2025")</f>
        <v/>
      </c>
      <c r="AB6">
        <f>HYPERLINK("https://klasma.github.io/Logging_0127/klagomålsmail/S 254-2025 FSC-klagomål mail.docx", "S 254-2025")</f>
        <v/>
      </c>
      <c r="AC6">
        <f>HYPERLINK("https://klasma.github.io/Logging_0127/tillsyn/S 254-2025 tillsynsbegäran.docx", "S 254-2025")</f>
        <v/>
      </c>
      <c r="AD6">
        <f>HYPERLINK("https://klasma.github.io/Logging_0127/tillsynsmail/S 254-2025 tillsynsbegäran mail.docx", "S 254-2025")</f>
        <v/>
      </c>
      <c r="AE6">
        <f>HYPERLINK("https://klasma.github.io/Logging_0127/fåglar/S 254-2025 prioriterade fågelarter.docx", "S 254-2025")</f>
        <v/>
      </c>
    </row>
    <row r="7" ht="15" customHeight="1">
      <c r="A7" t="inlineStr">
        <is>
          <t>A 12818-2026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46092</v>
      </c>
      <c r="E7" s="1" t="n">
        <v>46226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0.9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13</v>
      </c>
      <c r="U7" t="n">
        <v>3</v>
      </c>
      <c r="V7" s="2" t="inlineStr">
        <is>
          <t>Motaggsvamp
Vintertagging
Blomkålssvamp
Blåmossa
Grovticka
Nattskärra
Tofsmes
Kungsfågel</t>
        </is>
      </c>
      <c r="W7">
        <f>HYPERLINK("https://klasma.github.io/Logging_0127/artfynd/A 12818-2026 artfynd.xlsx", "A 12818-2026")</f>
        <v/>
      </c>
      <c r="X7">
        <f>HYPERLINK("https://klasma.github.io/Logging_0127/kartor/A 12818-2026 karta.png", "A 12818-2026")</f>
        <v/>
      </c>
      <c r="Y7">
        <f>HYPERLINK("https://klasma.github.io/Logging_0127/kartor_geotiff/A 12818-2026 georefererad karta.tif", "A 12818-2026")</f>
        <v/>
      </c>
      <c r="AA7">
        <f>HYPERLINK("https://klasma.github.io/Logging_0127/klagomål/A 12818-2026 FSC-klagomål.docx", "A 12818-2026")</f>
        <v/>
      </c>
      <c r="AB7">
        <f>HYPERLINK("https://klasma.github.io/Logging_0127/klagomålsmail/A 12818-2026 FSC-klagomål mail.docx", "A 12818-2026")</f>
        <v/>
      </c>
      <c r="AC7">
        <f>HYPERLINK("https://klasma.github.io/Logging_0127/tillsyn/A 12818-2026 tillsynsbegäran.docx", "A 12818-2026")</f>
        <v/>
      </c>
      <c r="AD7">
        <f>HYPERLINK("https://klasma.github.io/Logging_0127/tillsynsmail/A 12818-2026 tillsynsbegäran mail.docx", "A 12818-2026")</f>
        <v/>
      </c>
      <c r="AE7">
        <f>HYPERLINK("https://klasma.github.io/Logging_0127/fåglar/A 12818-2026 prioriterade fågelarter.docx", "A 12818-2026")</f>
        <v/>
      </c>
    </row>
    <row r="8" ht="15" customHeight="1">
      <c r="A8" t="inlineStr">
        <is>
          <t>A 48514-2025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46226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17.1</v>
      </c>
      <c r="J8" t="n">
        <v>1</v>
      </c>
      <c r="K8" t="n">
        <v>1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8</v>
      </c>
      <c r="T8" t="n">
        <v>90</v>
      </c>
      <c r="U8" t="n">
        <v>88</v>
      </c>
      <c r="V8" s="2" t="inlineStr">
        <is>
          <t>Igelkott
Lammticka
Motaggsvamp
Skarp dropptaggsvamp
Svartvit taggsvamp
Tallticka
Talltita
Mindre märgborre</t>
        </is>
      </c>
      <c r="W8">
        <f>HYPERLINK("https://klasma.github.io/Logging_0127/artfynd/A 48514-2025 artfynd.xlsx", "A 48514-2025")</f>
        <v/>
      </c>
      <c r="X8">
        <f>HYPERLINK("https://klasma.github.io/Logging_0127/kartor/A 48514-2025 karta.png", "A 48514-2025")</f>
        <v/>
      </c>
      <c r="Y8">
        <f>HYPERLINK("https://klasma.github.io/Logging_0127/kartor_geotiff/A 48514-2025 georefererad karta.tif", "A 48514-2025")</f>
        <v/>
      </c>
      <c r="AA8">
        <f>HYPERLINK("https://klasma.github.io/Logging_0127/klagomål/A 48514-2025 FSC-klagomål.docx", "A 48514-2025")</f>
        <v/>
      </c>
      <c r="AB8">
        <f>HYPERLINK("https://klasma.github.io/Logging_0127/klagomålsmail/A 48514-2025 FSC-klagomål mail.docx", "A 48514-2025")</f>
        <v/>
      </c>
      <c r="AC8">
        <f>HYPERLINK("https://klasma.github.io/Logging_0127/tillsyn/A 48514-2025 tillsynsbegäran.docx", "A 48514-2025")</f>
        <v/>
      </c>
      <c r="AD8">
        <f>HYPERLINK("https://klasma.github.io/Logging_0127/tillsynsmail/A 48514-2025 tillsynsbegäran mail.docx", "A 48514-2025")</f>
        <v/>
      </c>
      <c r="AE8">
        <f>HYPERLINK("https://klasma.github.io/Logging_0127/fåglar/A 48514-2025 prioriterade fågelarter.docx", "A 48514-2025")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46226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46226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46226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Fjällig taggsvamp s.str.
Motaggsvamp
Tallticka
Ullticka
Brandticka</t>
        </is>
      </c>
      <c r="W11">
        <f>HYPERLINK("https://klasma.github.io/Logging_0127/artfynd/A 43900-2021 artfynd.xlsx", "A 43900-2021")</f>
        <v/>
      </c>
      <c r="X11">
        <f>HYPERLINK("https://klasma.github.io/Logging_0127/kartor/A 43900-2021 karta.png", "A 43900-2021")</f>
        <v/>
      </c>
      <c r="Y11">
        <f>HYPERLINK("https://klasma.github.io/Logging_0127/kartor_geotiff/A 43900-2021 georefererad karta.tif", "A 43900-2021")</f>
        <v/>
      </c>
      <c r="AA11">
        <f>HYPERLINK("https://klasma.github.io/Logging_0127/klagomål/A 43900-2021 FSC-klagomål.docx", "A 43900-2021")</f>
        <v/>
      </c>
      <c r="AB11">
        <f>HYPERLINK("https://klasma.github.io/Logging_0127/klagomålsmail/A 43900-2021 FSC-klagomål mail.docx", "A 43900-2021")</f>
        <v/>
      </c>
      <c r="AC11">
        <f>HYPERLINK("https://klasma.github.io/Logging_0127/tillsyn/A 43900-2021 tillsynsbegäran.docx", "A 43900-2021")</f>
        <v/>
      </c>
      <c r="AD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46226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t="n">
        <v>7</v>
      </c>
      <c r="V12" s="2" t="inlineStr">
        <is>
          <t>Gulsparv
Tallticka
Blåmossa
Spillkråka
Gröngöling</t>
        </is>
      </c>
      <c r="W12">
        <f>HYPERLINK("https://klasma.github.io/Logging_0127/artfynd/A 25306-2026 artfynd.xlsx", "A 25306-2026")</f>
        <v/>
      </c>
      <c r="X12">
        <f>HYPERLINK("https://klasma.github.io/Logging_0127/kartor/A 25306-2026 karta.png", "A 25306-2026")</f>
        <v/>
      </c>
      <c r="Y12">
        <f>HYPERLINK("https://klasma.github.io/Logging_0127/kartor_geotiff/A 25306-2026 georefererad karta.tif", "A 25306-2026")</f>
        <v/>
      </c>
      <c r="AA12">
        <f>HYPERLINK("https://klasma.github.io/Logging_0127/klagomål/A 25306-2026 FSC-klagomål.docx", "A 25306-2026")</f>
        <v/>
      </c>
      <c r="AB12">
        <f>HYPERLINK("https://klasma.github.io/Logging_0127/klagomålsmail/A 25306-2026 FSC-klagomål mail.docx", "A 25306-2026")</f>
        <v/>
      </c>
      <c r="AC12">
        <f>HYPERLINK("https://klasma.github.io/Logging_0127/tillsyn/A 25306-2026 tillsynsbegäran.docx", "A 25306-2026")</f>
        <v/>
      </c>
      <c r="AD12">
        <f>HYPERLINK("https://klasma.github.io/Logging_0127/tillsynsmail/A 25306-2026 tillsynsbegäran mail.docx", "A 25306-2026")</f>
        <v/>
      </c>
      <c r="AE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46226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t="n">
        <v>0</v>
      </c>
      <c r="V13" s="2" t="inlineStr">
        <is>
          <t>Fjällig taggsvamp s.str.
Orange taggsvamp
Skarp dropptaggsvamp
Tallticka
Ullticka</t>
        </is>
      </c>
      <c r="W13">
        <f>HYPERLINK("https://klasma.github.io/Logging_0127/artfynd/S 1039-2025 artfynd.xlsx", "S 1039-2025")</f>
        <v/>
      </c>
      <c r="X13">
        <f>HYPERLINK("https://klasma.github.io/Logging_0127/kartor/S 1039-2025 karta.png", "S 1039-2025")</f>
        <v/>
      </c>
      <c r="Y13">
        <f>HYPERLINK("https://klasma.github.io/Logging_0127/kartor_geotiff/S 1039-2025 georefererad karta.tif", "S 1039-2025")</f>
        <v/>
      </c>
      <c r="AA13">
        <f>HYPERLINK("https://klasma.github.io/Logging_0127/klagomål/S 1039-2025 FSC-klagomål.docx", "S 1039-2025")</f>
        <v/>
      </c>
      <c r="AB13">
        <f>HYPERLINK("https://klasma.github.io/Logging_0127/klagomålsmail/S 1039-2025 FSC-klagomål mail.docx", "S 1039-2025")</f>
        <v/>
      </c>
      <c r="AC13">
        <f>HYPERLINK("https://klasma.github.io/Logging_0127/tillsyn/S 1039-2025 tillsynsbegäran.docx", "S 1039-2025")</f>
        <v/>
      </c>
      <c r="AD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46226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t="n">
        <v>20</v>
      </c>
      <c r="V14" s="2" t="inlineStr">
        <is>
          <t>Knärot
Tallticka
Tibast
Blåsippa</t>
        </is>
      </c>
      <c r="W14">
        <f>HYPERLINK("https://klasma.github.io/Logging_0127/artfynd/A 14220-2025 artfynd.xlsx", "A 14220-2025")</f>
        <v/>
      </c>
      <c r="X14">
        <f>HYPERLINK("https://klasma.github.io/Logging_0127/kartor/A 14220-2025 karta.png", "A 14220-2025")</f>
        <v/>
      </c>
      <c r="Y14">
        <f>HYPERLINK("https://klasma.github.io/Logging_0127/kartor_geotiff/A 14220-2025 georefererad karta.tif", "A 14220-2025")</f>
        <v/>
      </c>
      <c r="Z14">
        <f>HYPERLINK("https://klasma.github.io/Logging_0127/knärot/A 14220-2025 karta knärot.png", "A 14220-2025")</f>
        <v/>
      </c>
      <c r="AA14">
        <f>HYPERLINK("https://klasma.github.io/Logging_0127/klagomål/A 14220-2025 FSC-klagomål.docx", "A 14220-2025")</f>
        <v/>
      </c>
      <c r="AB14">
        <f>HYPERLINK("https://klasma.github.io/Logging_0127/klagomålsmail/A 14220-2025 FSC-klagomål mail.docx", "A 14220-2025")</f>
        <v/>
      </c>
      <c r="AC14">
        <f>HYPERLINK("https://klasma.github.io/Logging_0127/tillsyn/A 14220-2025 tillsynsbegäran.docx", "A 14220-2025")</f>
        <v/>
      </c>
      <c r="AD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46226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t="n">
        <v>0</v>
      </c>
      <c r="V15" s="2" t="inlineStr">
        <is>
          <t>Koppartaggsvamp
Orange taggsvamp
Tallticka
Spillkråka</t>
        </is>
      </c>
      <c r="W15">
        <f>HYPERLINK("https://klasma.github.io/Logging_0127/artfynd/S 1038-2025 artfynd.xlsx", "S 1038-2025")</f>
        <v/>
      </c>
      <c r="X15">
        <f>HYPERLINK("https://klasma.github.io/Logging_0127/kartor/S 1038-2025 karta.png", "S 1038-2025")</f>
        <v/>
      </c>
      <c r="Y15">
        <f>HYPERLINK("https://klasma.github.io/Logging_0127/kartor_geotiff/S 1038-2025 georefererad karta.tif", "S 1038-2025")</f>
        <v/>
      </c>
      <c r="AA15">
        <f>HYPERLINK("https://klasma.github.io/Logging_0127/klagomål/S 1038-2025 FSC-klagomål.docx", "S 1038-2025")</f>
        <v/>
      </c>
      <c r="AB15">
        <f>HYPERLINK("https://klasma.github.io/Logging_0127/klagomålsmail/S 1038-2025 FSC-klagomål mail.docx", "S 1038-2025")</f>
        <v/>
      </c>
      <c r="AC15">
        <f>HYPERLINK("https://klasma.github.io/Logging_0127/tillsyn/S 1038-2025 tillsynsbegäran.docx", "S 1038-2025")</f>
        <v/>
      </c>
      <c r="AD15">
        <f>HYPERLINK("https://klasma.github.io/Logging_0127/tillsynsmail/S 1038-2025 tillsynsbegäran mail.docx", "S 1038-2025")</f>
        <v/>
      </c>
      <c r="AE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46226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Lunglav
Bårdlav
Grön sköldmossa</t>
        </is>
      </c>
      <c r="W16">
        <f>HYPERLINK("https://klasma.github.io/Logging_0127/artfynd/A 1697-2023 artfynd.xlsx", "A 1697-2023")</f>
        <v/>
      </c>
      <c r="X16">
        <f>HYPERLINK("https://klasma.github.io/Logging_0127/kartor/A 1697-2023 karta.png", "A 1697-2023")</f>
        <v/>
      </c>
      <c r="Y16">
        <f>HYPERLINK("https://klasma.github.io/Logging_0127/kartor_geotiff/A 1697-2023 georefererad karta.tif", "A 1697-2023")</f>
        <v/>
      </c>
      <c r="AA16">
        <f>HYPERLINK("https://klasma.github.io/Logging_0127/klagomål/A 1697-2023 FSC-klagomål.docx", "A 1697-2023")</f>
        <v/>
      </c>
      <c r="AB16">
        <f>HYPERLINK("https://klasma.github.io/Logging_0127/klagomålsmail/A 1697-2023 FSC-klagomål mail.docx", "A 1697-2023")</f>
        <v/>
      </c>
      <c r="AC16">
        <f>HYPERLINK("https://klasma.github.io/Logging_0127/tillsyn/A 1697-2023 tillsynsbegäran.docx", "A 1697-2023")</f>
        <v/>
      </c>
      <c r="AD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46226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Fjällig taggsvamp s.str.
Tallticka
Fläcknycklar</t>
        </is>
      </c>
      <c r="W17">
        <f>HYPERLINK("https://klasma.github.io/Logging_0127/artfynd/A 23829-2023 artfynd.xlsx", "A 23829-2023")</f>
        <v/>
      </c>
      <c r="X17">
        <f>HYPERLINK("https://klasma.github.io/Logging_0127/kartor/A 23829-2023 karta.png", "A 23829-2023")</f>
        <v/>
      </c>
      <c r="Y17">
        <f>HYPERLINK("https://klasma.github.io/Logging_0127/kartor_geotiff/A 23829-2023 georefererad karta.tif", "A 23829-2023")</f>
        <v/>
      </c>
      <c r="AA17">
        <f>HYPERLINK("https://klasma.github.io/Logging_0127/klagomål/A 23829-2023 FSC-klagomål.docx", "A 23829-2023")</f>
        <v/>
      </c>
      <c r="AB17">
        <f>HYPERLINK("https://klasma.github.io/Logging_0127/klagomålsmail/A 23829-2023 FSC-klagomål mail.docx", "A 23829-2023")</f>
        <v/>
      </c>
      <c r="AC17">
        <f>HYPERLINK("https://klasma.github.io/Logging_0127/tillsyn/A 23829-2023 tillsynsbegäran.docx", "A 23829-2023")</f>
        <v/>
      </c>
      <c r="AD17">
        <f>HYPERLINK("https://klasma.github.io/Logging_0127/tillsynsmail/A 23829-2023 tillsynsbegäran mail.docx", "A 23829-2023")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46226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46226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46226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46171</v>
      </c>
      <c r="E21" s="1" t="n">
        <v>46226</v>
      </c>
      <c r="F21" t="inlineStr">
        <is>
          <t>STOCKHOLMS LÄN</t>
        </is>
      </c>
      <c r="G21" t="inlineStr">
        <is>
          <t>BOTKYRKA</t>
        </is>
      </c>
      <c r="I21" t="n">
        <v>1.7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Mindre märgborre
Spillkråka</t>
        </is>
      </c>
      <c r="W21">
        <f>HYPERLINK("https://klasma.github.io/Logging_0127/artfynd/A 24799-2026 artfynd.xlsx", "A 24799-2026")</f>
        <v/>
      </c>
      <c r="X21">
        <f>HYPERLINK("https://klasma.github.io/Logging_0127/kartor/A 24799-2026 karta.png", "A 24799-2026")</f>
        <v/>
      </c>
      <c r="Y21">
        <f>HYPERLINK("https://klasma.github.io/Logging_0127/kartor_geotiff/A 24799-2026 georefererad karta.tif", "A 24799-2026")</f>
        <v/>
      </c>
      <c r="AA21">
        <f>HYPERLINK("https://klasma.github.io/Logging_0127/klagomål/A 24799-2026 FSC-klagomål.docx", "A 24799-2026")</f>
        <v/>
      </c>
      <c r="AB21">
        <f>HYPERLINK("https://klasma.github.io/Logging_0127/klagomålsmail/A 24799-2026 FSC-klagomål mail.docx", "A 24799-2026")</f>
        <v/>
      </c>
      <c r="AC21">
        <f>HYPERLINK("https://klasma.github.io/Logging_0127/tillsyn/A 24799-2026 tillsynsbegäran.docx", "A 24799-2026")</f>
        <v/>
      </c>
      <c r="AD21">
        <f>HYPERLINK("https://klasma.github.io/Logging_0127/tillsynsmail/A 24799-2026 tillsynsbegäran mail.docx", "A 24799-2026")</f>
        <v/>
      </c>
      <c r="AE21">
        <f>HYPERLINK("https://klasma.github.io/Logging_0127/fåglar/A 24799-2026 prioriterade fågelarter.docx", "A 24799-2026")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46226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Grovticka
Spillkråka</t>
        </is>
      </c>
      <c r="W22">
        <f>HYPERLINK("https://klasma.github.io/Logging_0127/artfynd/A 25319-2026 artfynd.xlsx", "A 25319-2026")</f>
        <v/>
      </c>
      <c r="X22">
        <f>HYPERLINK("https://klasma.github.io/Logging_0127/kartor/A 25319-2026 karta.png", "A 25319-2026")</f>
        <v/>
      </c>
      <c r="Y22">
        <f>HYPERLINK("https://klasma.github.io/Logging_0127/kartor_geotiff/A 25319-2026 georefererad karta.tif", "A 25319-2026")</f>
        <v/>
      </c>
      <c r="AA22">
        <f>HYPERLINK("https://klasma.github.io/Logging_0127/klagomål/A 25319-2026 FSC-klagomål.docx", "A 25319-2026")</f>
        <v/>
      </c>
      <c r="AB22">
        <f>HYPERLINK("https://klasma.github.io/Logging_0127/klagomålsmail/A 25319-2026 FSC-klagomål mail.docx", "A 25319-2026")</f>
        <v/>
      </c>
      <c r="AC22">
        <f>HYPERLINK("https://klasma.github.io/Logging_0127/tillsyn/A 25319-2026 tillsynsbegäran.docx", "A 25319-2026")</f>
        <v/>
      </c>
      <c r="AD22">
        <f>HYPERLINK("https://klasma.github.io/Logging_0127/tillsynsmail/A 25319-2026 tillsynsbegäran mail.docx", "A 25319-2026")</f>
        <v/>
      </c>
      <c r="AE22">
        <f>HYPERLINK("https://klasma.github.io/Logging_0127/fåglar/A 25319-2026 prioriterade fågelarter.docx", "A 25319-2026")</f>
        <v/>
      </c>
    </row>
    <row r="23" ht="15" customHeight="1">
      <c r="A23" t="inlineStr">
        <is>
          <t>A 25315-2026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46176</v>
      </c>
      <c r="E23" s="1" t="n">
        <v>46226</v>
      </c>
      <c r="F23" t="inlineStr">
        <is>
          <t>STOCKHOLMS LÄN</t>
        </is>
      </c>
      <c r="G23" t="inlineStr">
        <is>
          <t>BOTKYRKA</t>
        </is>
      </c>
      <c r="I23" t="n">
        <v>1.4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Tofsmes</t>
        </is>
      </c>
      <c r="W23">
        <f>HYPERLINK("https://klasma.github.io/Logging_0127/artfynd/A 25315-2026 artfynd.xlsx", "A 25315-2026")</f>
        <v/>
      </c>
      <c r="X23">
        <f>HYPERLINK("https://klasma.github.io/Logging_0127/kartor/A 25315-2026 karta.png", "A 25315-2026")</f>
        <v/>
      </c>
      <c r="Y23">
        <f>HYPERLINK("https://klasma.github.io/Logging_0127/kartor_geotiff/A 25315-2026 georefererad karta.tif", "A 25315-2026")</f>
        <v/>
      </c>
      <c r="AA23">
        <f>HYPERLINK("https://klasma.github.io/Logging_0127/klagomål/A 25315-2026 FSC-klagomål.docx", "A 25315-2026")</f>
        <v/>
      </c>
      <c r="AB23">
        <f>HYPERLINK("https://klasma.github.io/Logging_0127/klagomålsmail/A 25315-2026 FSC-klagomål mail.docx", "A 25315-2026")</f>
        <v/>
      </c>
      <c r="AC23">
        <f>HYPERLINK("https://klasma.github.io/Logging_0127/tillsyn/A 25315-2026 tillsynsbegäran.docx", "A 25315-2026")</f>
        <v/>
      </c>
      <c r="AD23">
        <f>HYPERLINK("https://klasma.github.io/Logging_0127/tillsynsmail/A 25315-2026 tillsynsbegäran mail.docx", "A 25315-2026")</f>
        <v/>
      </c>
      <c r="AE23">
        <f>HYPERLINK("https://klasma.github.io/Logging_0127/fåglar/A 25315-2026 prioriterade fågelarter.docx", "A 25315-2026")</f>
        <v/>
      </c>
    </row>
    <row r="24" ht="15" customHeight="1">
      <c r="A24" t="inlineStr">
        <is>
          <t>A 18100-2022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44684</v>
      </c>
      <c r="E24" s="1" t="n">
        <v>46226</v>
      </c>
      <c r="F24" t="inlineStr">
        <is>
          <t>STOCKHOLMS LÄN</t>
        </is>
      </c>
      <c r="G24" t="inlineStr">
        <is>
          <t>BOTKYRKA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3</v>
      </c>
      <c r="V24" s="2" t="inlineStr">
        <is>
          <t>Svart trolldruva
Gullviva</t>
        </is>
      </c>
      <c r="W24">
        <f>HYPERLINK("https://klasma.github.io/Logging_0127/artfynd/A 18100-2022 artfynd.xlsx", "A 18100-2022")</f>
        <v/>
      </c>
      <c r="X24">
        <f>HYPERLINK("https://klasma.github.io/Logging_0127/kartor/A 18100-2022 karta.png", "A 18100-2022")</f>
        <v/>
      </c>
      <c r="Y24">
        <f>HYPERLINK("https://klasma.github.io/Logging_0127/kartor_geotiff/A 18100-2022 georefererad karta.tif", "A 18100-2022")</f>
        <v/>
      </c>
      <c r="AA24">
        <f>HYPERLINK("https://klasma.github.io/Logging_0127/klagomål/A 18100-2022 FSC-klagomål.docx", "A 18100-2022")</f>
        <v/>
      </c>
      <c r="AB24">
        <f>HYPERLINK("https://klasma.github.io/Logging_0127/klagomålsmail/A 18100-2022 FSC-klagomål mail.docx", "A 18100-2022")</f>
        <v/>
      </c>
      <c r="AC24">
        <f>HYPERLINK("https://klasma.github.io/Logging_0127/tillsyn/A 18100-2022 tillsynsbegäran.docx", "A 18100-2022")</f>
        <v/>
      </c>
      <c r="AD24">
        <f>HYPERLINK("https://klasma.github.io/Logging_0127/tillsynsmail/A 18100-2022 tillsynsbegäran mail.docx", "A 18100-2022")</f>
        <v/>
      </c>
    </row>
    <row r="25" ht="15" customHeight="1">
      <c r="A25" t="inlineStr">
        <is>
          <t>A 56816-2021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46226</v>
      </c>
      <c r="F25" t="inlineStr">
        <is>
          <t>STOCKHOLMS LÄN</t>
        </is>
      </c>
      <c r="G25" t="inlineStr">
        <is>
          <t>BOTKYRKA</t>
        </is>
      </c>
      <c r="I25" t="n">
        <v>10.9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Gulsparv</t>
        </is>
      </c>
      <c r="W25">
        <f>HYPERLINK("https://klasma.github.io/Logging_0127/artfynd/A 56816-2021 artfynd.xlsx", "A 56816-2021")</f>
        <v/>
      </c>
      <c r="X25">
        <f>HYPERLINK("https://klasma.github.io/Logging_0127/kartor/A 56816-2021 karta.png", "A 56816-2021")</f>
        <v/>
      </c>
      <c r="Y25">
        <f>HYPERLINK("https://klasma.github.io/Logging_0127/kartor_geotiff/A 56816-2021 georefererad karta.tif", "A 56816-2021")</f>
        <v/>
      </c>
      <c r="AA25">
        <f>HYPERLINK("https://klasma.github.io/Logging_0127/klagomål/A 56816-2021 FSC-klagomål.docx", "A 56816-2021")</f>
        <v/>
      </c>
      <c r="AB25">
        <f>HYPERLINK("https://klasma.github.io/Logging_0127/klagomålsmail/A 56816-2021 FSC-klagomål mail.docx", "A 56816-2021")</f>
        <v/>
      </c>
      <c r="AC25">
        <f>HYPERLINK("https://klasma.github.io/Logging_0127/tillsyn/A 56816-2021 tillsynsbegäran.docx", "A 56816-2021")</f>
        <v/>
      </c>
      <c r="AD25">
        <f>HYPERLINK("https://klasma.github.io/Logging_0127/tillsynsmail/A 56816-2021 tillsynsbegäran mail.docx", "A 56816-2021")</f>
        <v/>
      </c>
      <c r="AE25">
        <f>HYPERLINK("https://klasma.github.io/Logging_0127/fåglar/A 56816-2021 prioriterade fågelarter.docx", "A 56816-2021")</f>
        <v/>
      </c>
    </row>
    <row r="26" ht="15" customHeight="1">
      <c r="A26" t="inlineStr">
        <is>
          <t>A 15690-2023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45020</v>
      </c>
      <c r="E26" s="1" t="n">
        <v>46226</v>
      </c>
      <c r="F26" t="inlineStr">
        <is>
          <t>STOCKHOLMS LÄN</t>
        </is>
      </c>
      <c r="G26" t="inlineStr">
        <is>
          <t>BOTKYRKA</t>
        </is>
      </c>
      <c r="I26" t="n">
        <v>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HYPERLINK("https://klasma.github.io/Logging_0127/artfynd/A 15690-2023 artfynd.xlsx", "A 15690-2023")</f>
        <v/>
      </c>
      <c r="X26">
        <f>HYPERLINK("https://klasma.github.io/Logging_0127/kartor/A 15690-2023 karta.png", "A 15690-2023")</f>
        <v/>
      </c>
      <c r="Y26">
        <f>HYPERLINK("https://klasma.github.io/Logging_0127/kartor_geotiff/A 15690-2023 georefererad karta.tif", "A 15690-2023")</f>
        <v/>
      </c>
      <c r="AA26">
        <f>HYPERLINK("https://klasma.github.io/Logging_0127/klagomål/A 15690-2023 FSC-klagomål.docx", "A 15690-2023")</f>
        <v/>
      </c>
      <c r="AB26">
        <f>HYPERLINK("https://klasma.github.io/Logging_0127/klagomålsmail/A 15690-2023 FSC-klagomål mail.docx", "A 15690-2023")</f>
        <v/>
      </c>
      <c r="AC26">
        <f>HYPERLINK("https://klasma.github.io/Logging_0127/tillsyn/A 15690-2023 tillsynsbegäran.docx", "A 15690-2023")</f>
        <v/>
      </c>
      <c r="AD26">
        <f>HYPERLINK("https://klasma.github.io/Logging_0127/tillsynsmail/A 15690-2023 tillsynsbegäran mail.docx", "A 15690-2023")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46226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Stare</t>
        </is>
      </c>
      <c r="W27">
        <f>HYPERLINK("https://klasma.github.io/Logging_0127/artfynd/A 14214-2025 artfynd.xlsx", "A 14214-2025")</f>
        <v/>
      </c>
      <c r="X27">
        <f>HYPERLINK("https://klasma.github.io/Logging_0127/kartor/A 14214-2025 karta.png", "A 14214-2025")</f>
        <v/>
      </c>
      <c r="Y27">
        <f>HYPERLINK("https://klasma.github.io/Logging_0127/kartor_geotiff/A 14214-2025 georefererad karta.tif", "A 14214-2025")</f>
        <v/>
      </c>
      <c r="AA27">
        <f>HYPERLINK("https://klasma.github.io/Logging_0127/klagomål/A 14214-2025 FSC-klagomål.docx", "A 14214-2025")</f>
        <v/>
      </c>
      <c r="AB27">
        <f>HYPERLINK("https://klasma.github.io/Logging_0127/klagomålsmail/A 14214-2025 FSC-klagomål mail.docx", "A 14214-2025")</f>
        <v/>
      </c>
      <c r="AC27">
        <f>HYPERLINK("https://klasma.github.io/Logging_0127/tillsyn/A 14214-2025 tillsynsbegäran.docx", "A 14214-2025")</f>
        <v/>
      </c>
      <c r="AD27">
        <f>HYPERLINK("https://klasma.github.io/Logging_0127/tillsynsmail/A 14214-2025 tillsynsbegäran mail.docx", "A 14214-2025")</f>
        <v/>
      </c>
      <c r="AE27">
        <f>HYPERLINK("https://klasma.github.io/Logging_0127/fåglar/A 14214-2025 prioriterade fågelarter.docx", "A 14214-2025")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46226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HYPERLINK("https://klasma.github.io/Logging_0127/artfynd/A 12305-2026 artfynd.xlsx", "A 12305-2026")</f>
        <v/>
      </c>
      <c r="X28">
        <f>HYPERLINK("https://klasma.github.io/Logging_0127/kartor/A 12305-2026 karta.png", "A 12305-2026")</f>
        <v/>
      </c>
      <c r="Y28">
        <f>HYPERLINK("https://klasma.github.io/Logging_0127/kartor_geotiff/A 12305-2026 georefererad karta.tif", "A 12305-2026")</f>
        <v/>
      </c>
      <c r="AA28">
        <f>HYPERLINK("https://klasma.github.io/Logging_0127/klagomål/A 12305-2026 FSC-klagomål.docx", "A 12305-2026")</f>
        <v/>
      </c>
      <c r="AB28">
        <f>HYPERLINK("https://klasma.github.io/Logging_0127/klagomålsmail/A 12305-2026 FSC-klagomål mail.docx", "A 12305-2026")</f>
        <v/>
      </c>
      <c r="AC28">
        <f>HYPERLINK("https://klasma.github.io/Logging_0127/tillsyn/A 12305-2026 tillsynsbegäran.docx", "A 12305-2026")</f>
        <v/>
      </c>
      <c r="AD28">
        <f>HYPERLINK("https://klasma.github.io/Logging_0127/tillsynsmail/A 12305-2026 tillsynsbegäran mail.docx", "A 12305-2026")</f>
        <v/>
      </c>
      <c r="AE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46226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hackspett</t>
        </is>
      </c>
      <c r="W29">
        <f>HYPERLINK("https://klasma.github.io/Logging_0127/artfynd/A 12590-2026 artfynd.xlsx", "A 12590-2026")</f>
        <v/>
      </c>
      <c r="X29">
        <f>HYPERLINK("https://klasma.github.io/Logging_0127/kartor/A 12590-2026 karta.png", "A 12590-2026")</f>
        <v/>
      </c>
      <c r="Y29">
        <f>HYPERLINK("https://klasma.github.io/Logging_0127/kartor_geotiff/A 12590-2026 georefererad karta.tif", "A 12590-2026")</f>
        <v/>
      </c>
      <c r="AA29">
        <f>HYPERLINK("https://klasma.github.io/Logging_0127/klagomål/A 12590-2026 FSC-klagomål.docx", "A 12590-2026")</f>
        <v/>
      </c>
      <c r="AB29">
        <f>HYPERLINK("https://klasma.github.io/Logging_0127/klagomålsmail/A 12590-2026 FSC-klagomål mail.docx", "A 12590-2026")</f>
        <v/>
      </c>
      <c r="AC29">
        <f>HYPERLINK("https://klasma.github.io/Logging_0127/tillsyn/A 12590-2026 tillsynsbegäran.docx", "A 12590-2026")</f>
        <v/>
      </c>
      <c r="AD29">
        <f>HYPERLINK("https://klasma.github.io/Logging_0127/tillsynsmail/A 12590-2026 tillsynsbegäran mail.docx", "A 12590-2026")</f>
        <v/>
      </c>
      <c r="AE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46226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Fyrflikig jordstjärna</t>
        </is>
      </c>
      <c r="W30">
        <f>HYPERLINK("https://klasma.github.io/Logging_0127/artfynd/A 12842-2026 artfynd.xlsx", "A 12842-2026")</f>
        <v/>
      </c>
      <c r="X30">
        <f>HYPERLINK("https://klasma.github.io/Logging_0127/kartor/A 12842-2026 karta.png", "A 12842-2026")</f>
        <v/>
      </c>
      <c r="Y30">
        <f>HYPERLINK("https://klasma.github.io/Logging_0127/kartor_geotiff/A 12842-2026 georefererad karta.tif", "A 12842-2026")</f>
        <v/>
      </c>
      <c r="AA30">
        <f>HYPERLINK("https://klasma.github.io/Logging_0127/klagomål/A 12842-2026 FSC-klagomål.docx", "A 12842-2026")</f>
        <v/>
      </c>
      <c r="AB30">
        <f>HYPERLINK("https://klasma.github.io/Logging_0127/klagomålsmail/A 12842-2026 FSC-klagomål mail.docx", "A 12842-2026")</f>
        <v/>
      </c>
      <c r="AC30">
        <f>HYPERLINK("https://klasma.github.io/Logging_0127/tillsyn/A 12842-2026 tillsynsbegäran.docx", "A 12842-2026")</f>
        <v/>
      </c>
      <c r="AD30">
        <f>HYPERLINK("https://klasma.github.io/Logging_0127/tillsynsmail/A 12842-2026 tillsynsbegäran mail.docx", "A 12842-2026")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46226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28983-2024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45481</v>
      </c>
      <c r="E32" s="1" t="n">
        <v>46226</v>
      </c>
      <c r="F32" t="inlineStr">
        <is>
          <t>STOCKHOLMS LÄN</t>
        </is>
      </c>
      <c r="G32" t="inlineStr">
        <is>
          <t>BOTKYRKA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Tibast</t>
        </is>
      </c>
      <c r="W32">
        <f>HYPERLINK("https://klasma.github.io/Logging_0127/artfynd/A 28983-2024 artfynd.xlsx", "A 28983-2024")</f>
        <v/>
      </c>
      <c r="X32">
        <f>HYPERLINK("https://klasma.github.io/Logging_0127/kartor/A 28983-2024 karta.png", "A 28983-2024")</f>
        <v/>
      </c>
      <c r="Y32">
        <f>HYPERLINK("https://klasma.github.io/Logging_0127/kartor_geotiff/A 28983-2024 georefererad karta.tif", "A 28983-2024")</f>
        <v/>
      </c>
      <c r="AA32">
        <f>HYPERLINK("https://klasma.github.io/Logging_0127/klagomål/A 28983-2024 FSC-klagomål.docx", "A 28983-2024")</f>
        <v/>
      </c>
      <c r="AB32">
        <f>HYPERLINK("https://klasma.github.io/Logging_0127/klagomålsmail/A 28983-2024 FSC-klagomål mail.docx", "A 28983-2024")</f>
        <v/>
      </c>
      <c r="AC32">
        <f>HYPERLINK("https://klasma.github.io/Logging_0127/tillsyn/A 28983-2024 tillsynsbegäran.docx", "A 28983-2024")</f>
        <v/>
      </c>
      <c r="AD32">
        <f>HYPERLINK("https://klasma.github.io/Logging_0127/tillsynsmail/A 28983-2024 tillsynsbegäran mail.docx", "A 28983-2024")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46226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HYPERLINK("https://klasma.github.io/Logging_0127/artfynd/A 1691-2023 artfynd.xlsx", "A 1691-2023")</f>
        <v/>
      </c>
      <c r="X33">
        <f>HYPERLINK("https://klasma.github.io/Logging_0127/kartor/A 1691-2023 karta.png", "A 1691-2023")</f>
        <v/>
      </c>
      <c r="Y33">
        <f>HYPERLINK("https://klasma.github.io/Logging_0127/kartor_geotiff/A 1691-2023 georefererad karta.tif", "A 1691-2023")</f>
        <v/>
      </c>
      <c r="AA33">
        <f>HYPERLINK("https://klasma.github.io/Logging_0127/klagomål/A 1691-2023 FSC-klagomål.docx", "A 1691-2023")</f>
        <v/>
      </c>
      <c r="AB33">
        <f>HYPERLINK("https://klasma.github.io/Logging_0127/klagomålsmail/A 1691-2023 FSC-klagomål mail.docx", "A 1691-2023")</f>
        <v/>
      </c>
      <c r="AC33">
        <f>HYPERLINK("https://klasma.github.io/Logging_0127/tillsyn/A 1691-2023 tillsynsbegäran.docx", "A 1691-2023")</f>
        <v/>
      </c>
      <c r="AD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46226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Vanlig groda</t>
        </is>
      </c>
      <c r="W34">
        <f>HYPERLINK("https://klasma.github.io/Logging_0127/artfynd/A 61514-2022 artfynd.xlsx", "A 61514-2022")</f>
        <v/>
      </c>
      <c r="X34">
        <f>HYPERLINK("https://klasma.github.io/Logging_0127/kartor/A 61514-2022 karta.png", "A 61514-2022")</f>
        <v/>
      </c>
      <c r="Y34">
        <f>HYPERLINK("https://klasma.github.io/Logging_0127/kartor_geotiff/A 61514-2022 georefererad karta.tif", "A 61514-2022")</f>
        <v/>
      </c>
      <c r="AA34">
        <f>HYPERLINK("https://klasma.github.io/Logging_0127/klagomål/A 61514-2022 FSC-klagomål.docx", "A 61514-2022")</f>
        <v/>
      </c>
      <c r="AB34">
        <f>HYPERLINK("https://klasma.github.io/Logging_0127/klagomålsmail/A 61514-2022 FSC-klagomål mail.docx", "A 61514-2022")</f>
        <v/>
      </c>
      <c r="AC34">
        <f>HYPERLINK("https://klasma.github.io/Logging_0127/tillsyn/A 61514-2022 tillsynsbegäran.docx", "A 61514-2022")</f>
        <v/>
      </c>
      <c r="AD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46226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46226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46226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46226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46226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46226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46226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46226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45113</v>
      </c>
      <c r="E43" s="1" t="n">
        <v>46226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14217-2025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45740</v>
      </c>
      <c r="E44" s="1" t="n">
        <v>46226</v>
      </c>
      <c r="F44" t="inlineStr">
        <is>
          <t>STOCKHOLMS LÄN</t>
        </is>
      </c>
      <c r="G44" t="inlineStr">
        <is>
          <t>BOTKYRKA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73194-2021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44550</v>
      </c>
      <c r="E45" s="1" t="n">
        <v>46226</v>
      </c>
      <c r="F45" t="inlineStr">
        <is>
          <t>STOCKHOLMS LÄN</t>
        </is>
      </c>
      <c r="G45" t="inlineStr">
        <is>
          <t>BOTKYRKA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45029</v>
      </c>
      <c r="E46" s="1" t="n">
        <v>46226</v>
      </c>
      <c r="F46" t="inlineStr">
        <is>
          <t>STOCKHOLMS LÄN</t>
        </is>
      </c>
      <c r="G46" t="inlineStr">
        <is>
          <t>BOTKYRKA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12306-2026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46087</v>
      </c>
      <c r="E47" s="1" t="n">
        <v>46226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12294-2026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46087</v>
      </c>
      <c r="E48" s="1" t="n">
        <v>46226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46226</v>
      </c>
      <c r="F49" t="inlineStr">
        <is>
          <t>STOCKHOLMS LÄN</t>
        </is>
      </c>
      <c r="G49" t="inlineStr">
        <is>
          <t>BOTKYRKA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20649-2022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46226</v>
      </c>
      <c r="F50" t="inlineStr">
        <is>
          <t>STOCKHOLMS LÄN</t>
        </is>
      </c>
      <c r="G50" t="inlineStr">
        <is>
          <t>BOTKYRKA</t>
        </is>
      </c>
      <c r="H50" t="inlineStr">
        <is>
          <t>Övriga Aktiebolag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8528-2024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45355</v>
      </c>
      <c r="E51" s="1" t="n">
        <v>46226</v>
      </c>
      <c r="F51" t="inlineStr">
        <is>
          <t>STOCKHOLMS LÄN</t>
        </is>
      </c>
      <c r="G51" t="inlineStr">
        <is>
          <t>BOTKYRKA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54468-2025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45965</v>
      </c>
      <c r="E52" s="1" t="n">
        <v>46226</v>
      </c>
      <c r="F52" t="inlineStr">
        <is>
          <t>STOCKHOLMS LÄN</t>
        </is>
      </c>
      <c r="G52" t="inlineStr">
        <is>
          <t>BOTKYRKA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45869-2022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46226</v>
      </c>
      <c r="F53" t="inlineStr">
        <is>
          <t>STOCKHOLMS LÄN</t>
        </is>
      </c>
      <c r="G53" t="inlineStr">
        <is>
          <t>BOTKYRKA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46226</v>
      </c>
      <c r="F54" t="inlineStr">
        <is>
          <t>STOCKHOLMS LÄN</t>
        </is>
      </c>
      <c r="G54" t="inlineStr">
        <is>
          <t>BOTKYRKA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15692-2023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45020</v>
      </c>
      <c r="E55" s="1" t="n">
        <v>46226</v>
      </c>
      <c r="F55" t="inlineStr">
        <is>
          <t>STOCKHOLMS LÄN</t>
        </is>
      </c>
      <c r="G55" t="inlineStr">
        <is>
          <t>BOTKYRKA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46226</v>
      </c>
      <c r="F56" t="inlineStr">
        <is>
          <t>STOCKHOLMS LÄN</t>
        </is>
      </c>
      <c r="G56" t="inlineStr">
        <is>
          <t>BOTKYRKA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46226</v>
      </c>
      <c r="F57" t="inlineStr">
        <is>
          <t>STOCKHOLMS LÄN</t>
        </is>
      </c>
      <c r="G57" t="inlineStr">
        <is>
          <t>BOTKYRKA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27717-2026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46190</v>
      </c>
      <c r="E58" s="1" t="n">
        <v>46226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22391-2026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46154</v>
      </c>
      <c r="E59" s="1" t="n">
        <v>46226</v>
      </c>
      <c r="F59" t="inlineStr">
        <is>
          <t>STOCKHOLMS LÄN</t>
        </is>
      </c>
      <c r="G59" t="inlineStr">
        <is>
          <t>BOTKYRKA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73155-2021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44550</v>
      </c>
      <c r="E60" s="1" t="n">
        <v>46226</v>
      </c>
      <c r="F60" t="inlineStr">
        <is>
          <t>STOCKHOLMS LÄN</t>
        </is>
      </c>
      <c r="G60" t="inlineStr">
        <is>
          <t>BOTKYRKA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23725-2026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46164</v>
      </c>
      <c r="E61" s="1" t="n">
        <v>46226</v>
      </c>
      <c r="F61" t="inlineStr">
        <is>
          <t>STOCKHOLMS LÄN</t>
        </is>
      </c>
      <c r="G61" t="inlineStr">
        <is>
          <t>BOTKYRKA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23716-2026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46164</v>
      </c>
      <c r="E62" s="1" t="n">
        <v>46226</v>
      </c>
      <c r="F62" t="inlineStr">
        <is>
          <t>STOCKHOLMS LÄN</t>
        </is>
      </c>
      <c r="G62" t="inlineStr">
        <is>
          <t>BOTKYRKA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23718-2026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46226</v>
      </c>
      <c r="F63" t="inlineStr">
        <is>
          <t>STOCKHOLMS LÄN</t>
        </is>
      </c>
      <c r="G63" t="inlineStr">
        <is>
          <t>BOTKYRKA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48656-2022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44859</v>
      </c>
      <c r="E64" s="1" t="n">
        <v>46226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38194-2022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44812</v>
      </c>
      <c r="E65" s="1" t="n">
        <v>46226</v>
      </c>
      <c r="F65" t="inlineStr">
        <is>
          <t>STOCKHOLMS LÄN</t>
        </is>
      </c>
      <c r="G65" t="inlineStr">
        <is>
          <t>BOTKYRKA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11867-2024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45376</v>
      </c>
      <c r="E66" s="1" t="n">
        <v>46226</v>
      </c>
      <c r="F66" t="inlineStr">
        <is>
          <t>STOCKHOLMS LÄN</t>
        </is>
      </c>
      <c r="G66" t="inlineStr">
        <is>
          <t>BOTKYRKA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25217-2024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45462</v>
      </c>
      <c r="E67" s="1" t="n">
        <v>46226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30622-2024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45495</v>
      </c>
      <c r="E68" s="1" t="n">
        <v>46226</v>
      </c>
      <c r="F68" t="inlineStr">
        <is>
          <t>STOCKHOLMS LÄN</t>
        </is>
      </c>
      <c r="G68" t="inlineStr">
        <is>
          <t>BOTKYRKA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46226</v>
      </c>
      <c r="F69" t="inlineStr">
        <is>
          <t>STOCKHOLMS LÄN</t>
        </is>
      </c>
      <c r="G69" t="inlineStr">
        <is>
          <t>BOTKYRKA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45678</v>
      </c>
      <c r="E70" s="1" t="n">
        <v>46226</v>
      </c>
      <c r="F70" t="inlineStr">
        <is>
          <t>STOCKHOLMS LÄN</t>
        </is>
      </c>
      <c r="G70" t="inlineStr">
        <is>
          <t>BOTKYRKA</t>
        </is>
      </c>
      <c r="H70" t="inlineStr">
        <is>
          <t>Övriga Aktiebolag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44599</v>
      </c>
      <c r="E71" s="1" t="n">
        <v>46226</v>
      </c>
      <c r="F71" t="inlineStr">
        <is>
          <t>STOCKHOLMS LÄN</t>
        </is>
      </c>
      <c r="G71" t="inlineStr">
        <is>
          <t>BOTKYRKA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16142-2024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45406</v>
      </c>
      <c r="E72" s="1" t="n">
        <v>46226</v>
      </c>
      <c r="F72" t="inlineStr">
        <is>
          <t>STOCKHOLMS LÄN</t>
        </is>
      </c>
      <c r="G72" t="inlineStr">
        <is>
          <t>BOTKYRKA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11876-2024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46226</v>
      </c>
      <c r="F73" t="inlineStr">
        <is>
          <t>STOCKHOLMS LÄN</t>
        </is>
      </c>
      <c r="G73" t="inlineStr">
        <is>
          <t>BOTKYRKA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380-2026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46065</v>
      </c>
      <c r="E74" s="1" t="n">
        <v>46226</v>
      </c>
      <c r="F74" t="inlineStr">
        <is>
          <t>STOCKHOLMS LÄN</t>
        </is>
      </c>
      <c r="G74" t="inlineStr">
        <is>
          <t>BOTKYRKA</t>
        </is>
      </c>
      <c r="H74" t="inlineStr">
        <is>
          <t>Kommuner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2026-07-23T01:42:55Z</dcterms:created>
  <dcterms:modified xmlns:dcterms="http://purl.org/dc/terms/" xmlns:xsi="http://www.w3.org/2001/XMLSchema-instance" xsi:type="dcterms:W3CDTF">2026-07-23T01:42:55Z</dcterms:modified>
</cp:coreProperties>
</file>