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46218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V2">
        <f>HYPERLINK("https://klasma.github.io/Logging_0127/artfynd/A 43913-2021 artfynd.xlsx", "A 43913-2021")</f>
        <v/>
      </c>
      <c r="W2">
        <f>HYPERLINK("https://klasma.github.io/Logging_0127/kartor/A 43913-2021 karta.png", "A 43913-2021")</f>
        <v/>
      </c>
      <c r="X2">
        <f>HYPERLINK("https://klasma.github.io/Logging_0127/knärot/A 43913-2021 karta knärot.png", "A 43913-2021")</f>
        <v/>
      </c>
      <c r="Y2">
        <f>HYPERLINK("https://klasma.github.io/Logging_0127/klagomål/A 43913-2021 FSC-klagomål.docx", "A 43913-2021")</f>
        <v/>
      </c>
      <c r="Z2">
        <f>HYPERLINK("https://klasma.github.io/Logging_0127/klagomålsmail/A 43913-2021 FSC-klagomål mail.docx", "A 43913-2021")</f>
        <v/>
      </c>
      <c r="AA2">
        <f>HYPERLINK("https://klasma.github.io/Logging_0127/tillsyn/A 43913-2021 tillsynsbegäran.docx", "A 43913-2021")</f>
        <v/>
      </c>
      <c r="AB2">
        <f>HYPERLINK("https://klasma.github.io/Logging_0127/tillsynsmail/A 43913-2021 tillsynsbegäran mail.docx", "A 43913-2021")</f>
        <v/>
      </c>
      <c r="AC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46218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s="2" t="inlineStr">
        <is>
          <t>Brunlångöra
Dropptaggsvamp
Gulsparv
Motaggsvamp
Nordfladdermus
Spillkråka
Dvärgpipistrell
Kungsfågel
Större brunfladdermus
Vattenfladdermus</t>
        </is>
      </c>
      <c r="V3">
        <f>HYPERLINK("https://klasma.github.io/Logging_0127/artfynd/A 695-2023 artfynd.xlsx", "A 695-2023")</f>
        <v/>
      </c>
      <c r="W3">
        <f>HYPERLINK("https://klasma.github.io/Logging_0127/kartor/A 695-2023 karta.png", "A 695-2023")</f>
        <v/>
      </c>
      <c r="Y3">
        <f>HYPERLINK("https://klasma.github.io/Logging_0127/klagomål/A 695-2023 FSC-klagomål.docx", "A 695-2023")</f>
        <v/>
      </c>
      <c r="Z3">
        <f>HYPERLINK("https://klasma.github.io/Logging_0127/klagomålsmail/A 695-2023 FSC-klagomål mail.docx", "A 695-2023")</f>
        <v/>
      </c>
      <c r="AA3">
        <f>HYPERLINK("https://klasma.github.io/Logging_0127/tillsyn/A 695-2023 tillsynsbegäran.docx", "A 695-2023")</f>
        <v/>
      </c>
      <c r="AB3">
        <f>HYPERLINK("https://klasma.github.io/Logging_0127/tillsynsmail/A 695-2023 tillsynsbegäran mail.docx", "A 695-2023")</f>
        <v/>
      </c>
      <c r="AC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46218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s="2" t="inlineStr">
        <is>
          <t>Mindre bastardsvärmare
Sexfläckig bastardsvärmare
Almsnabbvinge
Mindre tåtelsmygare
Igelkottsröksvamp
Mandelriska
Sotriska
Mattlummer
Vanlig groda
Vanlig padda</t>
        </is>
      </c>
      <c r="V4">
        <f>HYPERLINK("https://klasma.github.io/Logging_0127/artfynd/A 24599-2022 artfynd.xlsx", "A 24599-2022")</f>
        <v/>
      </c>
      <c r="W4">
        <f>HYPERLINK("https://klasma.github.io/Logging_0127/kartor/A 24599-2022 karta.png", "A 24599-2022")</f>
        <v/>
      </c>
      <c r="Y4">
        <f>HYPERLINK("https://klasma.github.io/Logging_0127/klagomål/A 24599-2022 FSC-klagomål.docx", "A 24599-2022")</f>
        <v/>
      </c>
      <c r="Z4">
        <f>HYPERLINK("https://klasma.github.io/Logging_0127/klagomålsmail/A 24599-2022 FSC-klagomål mail.docx", "A 24599-2022")</f>
        <v/>
      </c>
      <c r="AA4">
        <f>HYPERLINK("https://klasma.github.io/Logging_0127/tillsyn/A 24599-2022 tillsynsbegäran.docx", "A 24599-2022")</f>
        <v/>
      </c>
      <c r="AB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46218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s="2" t="inlineStr">
        <is>
          <t>Duvhök
Järnsparv
Rödvingetrast
Sparvuggla
Spillkråka
Fjällvråk
Gröngöling
Kungsfågel
Svartvit flugsnappare</t>
        </is>
      </c>
      <c r="V5">
        <f>HYPERLINK("https://klasma.github.io/Logging_0127/artfynd/A 22390-2026 artfynd.xlsx", "A 22390-2026")</f>
        <v/>
      </c>
      <c r="W5">
        <f>HYPERLINK("https://klasma.github.io/Logging_0127/kartor/A 22390-2026 karta.png", "A 22390-2026")</f>
        <v/>
      </c>
      <c r="Y5">
        <f>HYPERLINK("https://klasma.github.io/Logging_0127/klagomål/A 22390-2026 FSC-klagomål.docx", "A 22390-2026")</f>
        <v/>
      </c>
      <c r="Z5">
        <f>HYPERLINK("https://klasma.github.io/Logging_0127/klagomålsmail/A 22390-2026 FSC-klagomål mail.docx", "A 22390-2026")</f>
        <v/>
      </c>
      <c r="AA5">
        <f>HYPERLINK("https://klasma.github.io/Logging_0127/tillsyn/A 22390-2026 tillsynsbegäran.docx", "A 22390-2026")</f>
        <v/>
      </c>
      <c r="AB5">
        <f>HYPERLINK("https://klasma.github.io/Logging_0127/tillsynsmail/A 22390-2026 tillsynsbegäran mail.docx", "A 22390-2026")</f>
        <v/>
      </c>
      <c r="AC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46218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s="2" t="inlineStr">
        <is>
          <t>Fyrflikig jordstjärna
Orange taggsvamp
Skarp dropptaggsvamp
Talltita
Björksplintborre
Grön sköldmossa
Jättesvampmal
Rävticka
Mattlummer</t>
        </is>
      </c>
      <c r="V6">
        <f>HYPERLINK("https://klasma.github.io/Logging_0127/artfynd/S 254-2025 artfynd.xlsx", "S 254-2025")</f>
        <v/>
      </c>
      <c r="W6">
        <f>HYPERLINK("https://klasma.github.io/Logging_0127/kartor/S 254-2025 karta.png", "S 254-2025")</f>
        <v/>
      </c>
      <c r="Y6">
        <f>HYPERLINK("https://klasma.github.io/Logging_0127/klagomål/S 254-2025 FSC-klagomål.docx", "S 254-2025")</f>
        <v/>
      </c>
      <c r="Z6">
        <f>HYPERLINK("https://klasma.github.io/Logging_0127/klagomålsmail/S 254-2025 FSC-klagomål mail.docx", "S 254-2025")</f>
        <v/>
      </c>
      <c r="AA6">
        <f>HYPERLINK("https://klasma.github.io/Logging_0127/tillsyn/S 254-2025 tillsynsbegäran.docx", "S 254-2025")</f>
        <v/>
      </c>
      <c r="AB6">
        <f>HYPERLINK("https://klasma.github.io/Logging_0127/tillsynsmail/S 254-2025 tillsynsbegäran mail.docx", "S 254-2025")</f>
        <v/>
      </c>
      <c r="AC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46218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s="2" t="inlineStr">
        <is>
          <t>Igelkott
Lammticka
Motaggsvamp
Skarp dropptaggsvamp
Svartvit taggsvamp
Tallticka
Talltita
Mindre märgborre</t>
        </is>
      </c>
      <c r="V7">
        <f>HYPERLINK("https://klasma.github.io/Logging_0127/artfynd/A 48514-2025 artfynd.xlsx", "A 48514-2025")</f>
        <v/>
      </c>
      <c r="W7">
        <f>HYPERLINK("https://klasma.github.io/Logging_0127/kartor/A 48514-2025 karta.png", "A 48514-2025")</f>
        <v/>
      </c>
      <c r="Y7">
        <f>HYPERLINK("https://klasma.github.io/Logging_0127/klagomål/A 48514-2025 FSC-klagomål.docx", "A 48514-2025")</f>
        <v/>
      </c>
      <c r="Z7">
        <f>HYPERLINK("https://klasma.github.io/Logging_0127/klagomålsmail/A 48514-2025 FSC-klagomål mail.docx", "A 48514-2025")</f>
        <v/>
      </c>
      <c r="AA7">
        <f>HYPERLINK("https://klasma.github.io/Logging_0127/tillsyn/A 48514-2025 tillsynsbegäran.docx", "A 48514-2025")</f>
        <v/>
      </c>
      <c r="AB7">
        <f>HYPERLINK("https://klasma.github.io/Logging_0127/tillsynsmail/A 48514-2025 tillsynsbegäran mail.docx", "A 48514-2025")</f>
        <v/>
      </c>
      <c r="AC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46218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s="2" t="inlineStr">
        <is>
          <t>Motaggsvamp
Vintertagging
Blomkålssvamp
Blåmossa
Grovticka
Nattskärra
Tofsmes
Kungsfågel</t>
        </is>
      </c>
      <c r="V8">
        <f>HYPERLINK("https://klasma.github.io/Logging_0127/artfynd/A 12818-2026 artfynd.xlsx", "A 12818-2026")</f>
        <v/>
      </c>
      <c r="W8">
        <f>HYPERLINK("https://klasma.github.io/Logging_0127/kartor/A 12818-2026 karta.png", "A 12818-2026")</f>
        <v/>
      </c>
      <c r="Y8">
        <f>HYPERLINK("https://klasma.github.io/Logging_0127/klagomål/A 12818-2026 FSC-klagomål.docx", "A 12818-2026")</f>
        <v/>
      </c>
      <c r="Z8">
        <f>HYPERLINK("https://klasma.github.io/Logging_0127/klagomålsmail/A 12818-2026 FSC-klagomål mail.docx", "A 12818-2026")</f>
        <v/>
      </c>
      <c r="AA8">
        <f>HYPERLINK("https://klasma.github.io/Logging_0127/tillsyn/A 12818-2026 tillsynsbegäran.docx", "A 12818-2026")</f>
        <v/>
      </c>
      <c r="AB8">
        <f>HYPERLINK("https://klasma.github.io/Logging_0127/tillsynsmail/A 12818-2026 tillsynsbegäran mail.docx", "A 12818-2026")</f>
        <v/>
      </c>
      <c r="AC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46218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s="2" t="inlineStr">
        <is>
          <t>Entita
Mindre hackspett
Tallticka
Talltita
Mindre märgborre
Spillkråka
Gröngöling</t>
        </is>
      </c>
      <c r="V9">
        <f>HYPERLINK("https://klasma.github.io/Logging_0127/artfynd/A 60416-2025 artfynd.xlsx", "A 60416-2025")</f>
        <v/>
      </c>
      <c r="W9">
        <f>HYPERLINK("https://klasma.github.io/Logging_0127/kartor/A 60416-2025 karta.png", "A 60416-2025")</f>
        <v/>
      </c>
      <c r="Y9">
        <f>HYPERLINK("https://klasma.github.io/Logging_0127/klagomål/A 60416-2025 FSC-klagomål.docx", "A 60416-2025")</f>
        <v/>
      </c>
      <c r="Z9">
        <f>HYPERLINK("https://klasma.github.io/Logging_0127/klagomålsmail/A 60416-2025 FSC-klagomål mail.docx", "A 60416-2025")</f>
        <v/>
      </c>
      <c r="AA9">
        <f>HYPERLINK("https://klasma.github.io/Logging_0127/tillsyn/A 60416-2025 tillsynsbegäran.docx", "A 60416-2025")</f>
        <v/>
      </c>
      <c r="AB9">
        <f>HYPERLINK("https://klasma.github.io/Logging_0127/tillsynsmail/A 60416-2025 tillsynsbegäran mail.docx", "A 60416-2025")</f>
        <v/>
      </c>
      <c r="AC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46218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s="2" t="inlineStr">
        <is>
          <t>Parkhättemossa
Fällmossa
Guldlockmossa
Stenporella
Strutbräken
Trubbfjädermossa</t>
        </is>
      </c>
      <c r="V10">
        <f>HYPERLINK("https://klasma.github.io/Logging_0127/artfynd/A 33801-2025 artfynd.xlsx", "A 33801-2025")</f>
        <v/>
      </c>
      <c r="W10">
        <f>HYPERLINK("https://klasma.github.io/Logging_0127/kartor/A 33801-2025 karta.png", "A 33801-2025")</f>
        <v/>
      </c>
      <c r="Y10">
        <f>HYPERLINK("https://klasma.github.io/Logging_0127/klagomål/A 33801-2025 FSC-klagomål.docx", "A 33801-2025")</f>
        <v/>
      </c>
      <c r="Z10">
        <f>HYPERLINK("https://klasma.github.io/Logging_0127/klagomålsmail/A 33801-2025 FSC-klagomål mail.docx", "A 33801-2025")</f>
        <v/>
      </c>
      <c r="AA10">
        <f>HYPERLINK("https://klasma.github.io/Logging_0127/tillsyn/A 33801-2025 tillsynsbegäran.docx", "A 33801-2025")</f>
        <v/>
      </c>
      <c r="AB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46218</v>
      </c>
      <c r="F11" t="inlineStr">
        <is>
          <t>STOCKHOLMS LÄN</t>
        </is>
      </c>
      <c r="G11" t="inlineStr">
        <is>
          <t>BOTKYRKA</t>
        </is>
      </c>
      <c r="H11" t="inlineStr">
        <is>
          <t>Kommuner</t>
        </is>
      </c>
      <c r="I11" t="n">
        <v>3.1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7</v>
      </c>
      <c r="U11" s="2" t="inlineStr">
        <is>
          <t>Fjällig taggsvamp s.str.
Motaggsvamp
Tallticka
Ullticka
Brandticka</t>
        </is>
      </c>
      <c r="V11">
        <f>HYPERLINK("https://klasma.github.io/Logging_0127/artfynd/A 43900-2021 artfynd.xlsx", "A 43900-2021")</f>
        <v/>
      </c>
      <c r="W11">
        <f>HYPERLINK("https://klasma.github.io/Logging_0127/kartor/A 43900-2021 karta.png", "A 43900-2021")</f>
        <v/>
      </c>
      <c r="Y11">
        <f>HYPERLINK("https://klasma.github.io/Logging_0127/klagomål/A 43900-2021 FSC-klagomål.docx", "A 43900-2021")</f>
        <v/>
      </c>
      <c r="Z11">
        <f>HYPERLINK("https://klasma.github.io/Logging_0127/klagomålsmail/A 43900-2021 FSC-klagomål mail.docx", "A 43900-2021")</f>
        <v/>
      </c>
      <c r="AA11">
        <f>HYPERLINK("https://klasma.github.io/Logging_0127/tillsyn/A 43900-2021 tillsynsbegäran.docx", "A 43900-2021")</f>
        <v/>
      </c>
      <c r="AB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46176</v>
      </c>
      <c r="E12" s="1" t="n">
        <v>46218</v>
      </c>
      <c r="F12" t="inlineStr">
        <is>
          <t>STOCKHOLMS LÄN</t>
        </is>
      </c>
      <c r="G12" t="inlineStr">
        <is>
          <t>BOTKYRKA</t>
        </is>
      </c>
      <c r="I12" t="n">
        <v>3.2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7</v>
      </c>
      <c r="U12" s="2" t="inlineStr">
        <is>
          <t>Gulsparv
Tallticka
Blåmossa
Spillkråka
Gröngöling</t>
        </is>
      </c>
      <c r="V12">
        <f>HYPERLINK("https://klasma.github.io/Logging_0127/artfynd/A 25306-2026 artfynd.xlsx", "A 25306-2026")</f>
        <v/>
      </c>
      <c r="W12">
        <f>HYPERLINK("https://klasma.github.io/Logging_0127/kartor/A 25306-2026 karta.png", "A 25306-2026")</f>
        <v/>
      </c>
      <c r="Y12">
        <f>HYPERLINK("https://klasma.github.io/Logging_0127/klagomål/A 25306-2026 FSC-klagomål.docx", "A 25306-2026")</f>
        <v/>
      </c>
      <c r="Z12">
        <f>HYPERLINK("https://klasma.github.io/Logging_0127/klagomålsmail/A 25306-2026 FSC-klagomål mail.docx", "A 25306-2026")</f>
        <v/>
      </c>
      <c r="AA12">
        <f>HYPERLINK("https://klasma.github.io/Logging_0127/tillsyn/A 25306-2026 tillsynsbegäran.docx", "A 25306-2026")</f>
        <v/>
      </c>
      <c r="AB12">
        <f>HYPERLINK("https://klasma.github.io/Logging_0127/tillsynsmail/A 25306-2026 tillsynsbegäran mail.docx", "A 25306-2026")</f>
        <v/>
      </c>
      <c r="AC12">
        <f>HYPERLINK("https://klasma.github.io/Logging_0127/fåglar/A 25306-2026 prioriterade fågelarter.docx", "A 25306-2026")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46218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s="2" t="inlineStr">
        <is>
          <t>Fjällig taggsvamp s.str.
Orange taggsvamp
Skarp dropptaggsvamp
Tallticka
Ullticka</t>
        </is>
      </c>
      <c r="V13">
        <f>HYPERLINK("https://klasma.github.io/Logging_0127/artfynd/S 1039-2025 artfynd.xlsx", "S 1039-2025")</f>
        <v/>
      </c>
      <c r="W13">
        <f>HYPERLINK("https://klasma.github.io/Logging_0127/kartor/S 1039-2025 karta.png", "S 1039-2025")</f>
        <v/>
      </c>
      <c r="Y13">
        <f>HYPERLINK("https://klasma.github.io/Logging_0127/klagomål/S 1039-2025 FSC-klagomål.docx", "S 1039-2025")</f>
        <v/>
      </c>
      <c r="Z13">
        <f>HYPERLINK("https://klasma.github.io/Logging_0127/klagomålsmail/S 1039-2025 FSC-klagomål mail.docx", "S 1039-2025")</f>
        <v/>
      </c>
      <c r="AA13">
        <f>HYPERLINK("https://klasma.github.io/Logging_0127/tillsyn/S 1039-2025 tillsynsbegäran.docx", "S 1039-2025")</f>
        <v/>
      </c>
      <c r="AB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46218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s="2" t="inlineStr">
        <is>
          <t>Knärot
Tallticka
Tibast
Blåsippa</t>
        </is>
      </c>
      <c r="V14">
        <f>HYPERLINK("https://klasma.github.io/Logging_0127/artfynd/A 14220-2025 artfynd.xlsx", "A 14220-2025")</f>
        <v/>
      </c>
      <c r="W14">
        <f>HYPERLINK("https://klasma.github.io/Logging_0127/kartor/A 14220-2025 karta.png", "A 14220-2025")</f>
        <v/>
      </c>
      <c r="X14">
        <f>HYPERLINK("https://klasma.github.io/Logging_0127/knärot/A 14220-2025 karta knärot.png", "A 14220-2025")</f>
        <v/>
      </c>
      <c r="Y14">
        <f>HYPERLINK("https://klasma.github.io/Logging_0127/klagomål/A 14220-2025 FSC-klagomål.docx", "A 14220-2025")</f>
        <v/>
      </c>
      <c r="Z14">
        <f>HYPERLINK("https://klasma.github.io/Logging_0127/klagomålsmail/A 14220-2025 FSC-klagomål mail.docx", "A 14220-2025")</f>
        <v/>
      </c>
      <c r="AA14">
        <f>HYPERLINK("https://klasma.github.io/Logging_0127/tillsyn/A 14220-2025 tillsynsbegäran.docx", "A 14220-2025")</f>
        <v/>
      </c>
      <c r="AB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46218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s="2" t="inlineStr">
        <is>
          <t>Koppartaggsvamp
Orange taggsvamp
Tallticka
Spillkråka</t>
        </is>
      </c>
      <c r="V15">
        <f>HYPERLINK("https://klasma.github.io/Logging_0127/artfynd/S 1038-2025 artfynd.xlsx", "S 1038-2025")</f>
        <v/>
      </c>
      <c r="W15">
        <f>HYPERLINK("https://klasma.github.io/Logging_0127/kartor/S 1038-2025 karta.png", "S 1038-2025")</f>
        <v/>
      </c>
      <c r="Y15">
        <f>HYPERLINK("https://klasma.github.io/Logging_0127/klagomål/S 1038-2025 FSC-klagomål.docx", "S 1038-2025")</f>
        <v/>
      </c>
      <c r="Z15">
        <f>HYPERLINK("https://klasma.github.io/Logging_0127/klagomålsmail/S 1038-2025 FSC-klagomål mail.docx", "S 1038-2025")</f>
        <v/>
      </c>
      <c r="AA15">
        <f>HYPERLINK("https://klasma.github.io/Logging_0127/tillsyn/S 1038-2025 tillsynsbegäran.docx", "S 1038-2025")</f>
        <v/>
      </c>
      <c r="AB15">
        <f>HYPERLINK("https://klasma.github.io/Logging_0127/tillsynsmail/S 1038-2025 tillsynsbegäran mail.docx", "S 1038-2025")</f>
        <v/>
      </c>
      <c r="AC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46218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Lunglav
Bårdlav
Grön sköldmossa</t>
        </is>
      </c>
      <c r="V16">
        <f>HYPERLINK("https://klasma.github.io/Logging_0127/artfynd/A 1697-2023 artfynd.xlsx", "A 1697-2023")</f>
        <v/>
      </c>
      <c r="W16">
        <f>HYPERLINK("https://klasma.github.io/Logging_0127/kartor/A 1697-2023 karta.png", "A 1697-2023")</f>
        <v/>
      </c>
      <c r="Y16">
        <f>HYPERLINK("https://klasma.github.io/Logging_0127/klagomål/A 1697-2023 FSC-klagomål.docx", "A 1697-2023")</f>
        <v/>
      </c>
      <c r="Z16">
        <f>HYPERLINK("https://klasma.github.io/Logging_0127/klagomålsmail/A 1697-2023 FSC-klagomål mail.docx", "A 1697-2023")</f>
        <v/>
      </c>
      <c r="AA16">
        <f>HYPERLINK("https://klasma.github.io/Logging_0127/tillsyn/A 1697-2023 tillsynsbegäran.docx", "A 1697-2023")</f>
        <v/>
      </c>
      <c r="AB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46218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s="2" t="inlineStr">
        <is>
          <t>Fjällig taggsvamp s.str.
Tallticka
Fläcknycklar</t>
        </is>
      </c>
      <c r="V17">
        <f>HYPERLINK("https://klasma.github.io/Logging_0127/artfynd/A 23829-2023 artfynd.xlsx", "A 23829-2023")</f>
        <v/>
      </c>
      <c r="W17">
        <f>HYPERLINK("https://klasma.github.io/Logging_0127/kartor/A 23829-2023 karta.png", "A 23829-2023")</f>
        <v/>
      </c>
      <c r="Y17">
        <f>HYPERLINK("https://klasma.github.io/Logging_0127/klagomål/A 23829-2023 FSC-klagomål.docx", "A 23829-2023")</f>
        <v/>
      </c>
      <c r="Z17">
        <f>HYPERLINK("https://klasma.github.io/Logging_0127/klagomålsmail/A 23829-2023 FSC-klagomål mail.docx", "A 23829-2023")</f>
        <v/>
      </c>
      <c r="AA17">
        <f>HYPERLINK("https://klasma.github.io/Logging_0127/tillsyn/A 23829-2023 tillsynsbegäran.docx", "A 23829-2023")</f>
        <v/>
      </c>
      <c r="AB17">
        <f>HYPERLINK("https://klasma.github.io/Logging_0127/tillsynsmail/A 23829-2023 tillsynsbegäran mail.docx", "A 23829-2023")</f>
        <v/>
      </c>
    </row>
    <row r="18" ht="15" customHeight="1">
      <c r="A18" t="inlineStr">
        <is>
          <t>A 18100-2022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44684</v>
      </c>
      <c r="E18" s="1" t="n">
        <v>46218</v>
      </c>
      <c r="F18" t="inlineStr">
        <is>
          <t>STOCKHOLMS LÄN</t>
        </is>
      </c>
      <c r="G18" t="inlineStr">
        <is>
          <t>BOTKYRKA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s="2" t="inlineStr">
        <is>
          <t>Svart trolldruva
Gullviva</t>
        </is>
      </c>
      <c r="V18">
        <f>HYPERLINK("https://klasma.github.io/Logging_0127/artfynd/A 18100-2022 artfynd.xlsx", "A 18100-2022")</f>
        <v/>
      </c>
      <c r="W18">
        <f>HYPERLINK("https://klasma.github.io/Logging_0127/kartor/A 18100-2022 karta.png", "A 18100-2022")</f>
        <v/>
      </c>
      <c r="Y18">
        <f>HYPERLINK("https://klasma.github.io/Logging_0127/klagomål/A 18100-2022 FSC-klagomål.docx", "A 18100-2022")</f>
        <v/>
      </c>
      <c r="Z18">
        <f>HYPERLINK("https://klasma.github.io/Logging_0127/klagomålsmail/A 18100-2022 FSC-klagomål mail.docx", "A 18100-2022")</f>
        <v/>
      </c>
      <c r="AA18">
        <f>HYPERLINK("https://klasma.github.io/Logging_0127/tillsyn/A 18100-2022 tillsynsbegäran.docx", "A 18100-2022")</f>
        <v/>
      </c>
      <c r="AB18">
        <f>HYPERLINK("https://klasma.github.io/Logging_0127/tillsynsmail/A 18100-2022 tillsynsbegäran mail.docx", "A 18100-2022")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46218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s="2" t="inlineStr">
        <is>
          <t>Motaggsvamp
Svartvit taggsvamp</t>
        </is>
      </c>
      <c r="V19">
        <f>HYPERLINK("https://klasma.github.io/Logging_0127/artfynd/A 15905-2022 artfynd.xlsx", "A 15905-2022")</f>
        <v/>
      </c>
      <c r="W19">
        <f>HYPERLINK("https://klasma.github.io/Logging_0127/kartor/A 15905-2022 karta.png", "A 15905-2022")</f>
        <v/>
      </c>
      <c r="Y19">
        <f>HYPERLINK("https://klasma.github.io/Logging_0127/klagomål/A 15905-2022 FSC-klagomål.docx", "A 15905-2022")</f>
        <v/>
      </c>
      <c r="Z19">
        <f>HYPERLINK("https://klasma.github.io/Logging_0127/klagomålsmail/A 15905-2022 FSC-klagomål mail.docx", "A 15905-2022")</f>
        <v/>
      </c>
      <c r="AA19">
        <f>HYPERLINK("https://klasma.github.io/Logging_0127/tillsyn/A 15905-2022 tillsynsbegäran.docx", "A 15905-2022")</f>
        <v/>
      </c>
      <c r="AB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46218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Björksplintborre
Mindre märgborre</t>
        </is>
      </c>
      <c r="V20">
        <f>HYPERLINK("https://klasma.github.io/Logging_0127/artfynd/A 60406-2025 artfynd.xlsx", "A 60406-2025")</f>
        <v/>
      </c>
      <c r="W20">
        <f>HYPERLINK("https://klasma.github.io/Logging_0127/kartor/A 60406-2025 karta.png", "A 60406-2025")</f>
        <v/>
      </c>
      <c r="Y20">
        <f>HYPERLINK("https://klasma.github.io/Logging_0127/klagomål/A 60406-2025 FSC-klagomål.docx", "A 60406-2025")</f>
        <v/>
      </c>
      <c r="Z20">
        <f>HYPERLINK("https://klasma.github.io/Logging_0127/klagomålsmail/A 60406-2025 FSC-klagomål mail.docx", "A 60406-2025")</f>
        <v/>
      </c>
      <c r="AA20">
        <f>HYPERLINK("https://klasma.github.io/Logging_0127/tillsyn/A 60406-2025 tillsynsbegäran.docx", "A 60406-2025")</f>
        <v/>
      </c>
      <c r="AB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46218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Mindre märgborre
Spillkråka</t>
        </is>
      </c>
      <c r="V21">
        <f>HYPERLINK("https://klasma.github.io/Logging_0127/artfynd/A 24799-2026 artfynd.xlsx", "A 24799-2026")</f>
        <v/>
      </c>
      <c r="W21">
        <f>HYPERLINK("https://klasma.github.io/Logging_0127/kartor/A 24799-2026 karta.png", "A 24799-2026")</f>
        <v/>
      </c>
      <c r="Y21">
        <f>HYPERLINK("https://klasma.github.io/Logging_0127/klagomål/A 24799-2026 FSC-klagomål.docx", "A 24799-2026")</f>
        <v/>
      </c>
      <c r="Z21">
        <f>HYPERLINK("https://klasma.github.io/Logging_0127/klagomålsmail/A 24799-2026 FSC-klagomål mail.docx", "A 24799-2026")</f>
        <v/>
      </c>
      <c r="AA21">
        <f>HYPERLINK("https://klasma.github.io/Logging_0127/tillsyn/A 24799-2026 tillsynsbegäran.docx", "A 24799-2026")</f>
        <v/>
      </c>
      <c r="AB21">
        <f>HYPERLINK("https://klasma.github.io/Logging_0127/tillsynsmail/A 24799-2026 tillsynsbegäran mail.docx", "A 24799-2026")</f>
        <v/>
      </c>
      <c r="AC21">
        <f>HYPERLINK("https://klasma.github.io/Logging_0127/fåglar/A 24799-2026 prioriterade fågelarter.docx", "A 24799-2026")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46218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Spillkråka
Tofsmes</t>
        </is>
      </c>
      <c r="V22">
        <f>HYPERLINK("https://klasma.github.io/Logging_0127/artfynd/A 25315-2026 artfynd.xlsx", "A 25315-2026")</f>
        <v/>
      </c>
      <c r="W22">
        <f>HYPERLINK("https://klasma.github.io/Logging_0127/kartor/A 25315-2026 karta.png", "A 25315-2026")</f>
        <v/>
      </c>
      <c r="Y22">
        <f>HYPERLINK("https://klasma.github.io/Logging_0127/klagomål/A 25315-2026 FSC-klagomål.docx", "A 25315-2026")</f>
        <v/>
      </c>
      <c r="Z22">
        <f>HYPERLINK("https://klasma.github.io/Logging_0127/klagomålsmail/A 25315-2026 FSC-klagomål mail.docx", "A 25315-2026")</f>
        <v/>
      </c>
      <c r="AA22">
        <f>HYPERLINK("https://klasma.github.io/Logging_0127/tillsyn/A 25315-2026 tillsynsbegäran.docx", "A 25315-2026")</f>
        <v/>
      </c>
      <c r="AB22">
        <f>HYPERLINK("https://klasma.github.io/Logging_0127/tillsynsmail/A 25315-2026 tillsynsbegäran mail.docx", "A 25315-2026")</f>
        <v/>
      </c>
      <c r="AC22">
        <f>HYPERLINK("https://klasma.github.io/Logging_0127/fåglar/A 25315-2026 prioriterade fågelarter.docx", "A 25315-2026")</f>
        <v/>
      </c>
    </row>
    <row r="23" ht="15" customHeight="1">
      <c r="A23" t="inlineStr">
        <is>
          <t>A 25319-2026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46218</v>
      </c>
      <c r="F23" t="inlineStr">
        <is>
          <t>STOCKHOLMS LÄN</t>
        </is>
      </c>
      <c r="G23" t="inlineStr">
        <is>
          <t>BOTKYRKA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Grovticka
Spillkråka</t>
        </is>
      </c>
      <c r="V23">
        <f>HYPERLINK("https://klasma.github.io/Logging_0127/artfynd/A 25319-2026 artfynd.xlsx", "A 25319-2026")</f>
        <v/>
      </c>
      <c r="W23">
        <f>HYPERLINK("https://klasma.github.io/Logging_0127/kartor/A 25319-2026 karta.png", "A 25319-2026")</f>
        <v/>
      </c>
      <c r="Y23">
        <f>HYPERLINK("https://klasma.github.io/Logging_0127/klagomål/A 25319-2026 FSC-klagomål.docx", "A 25319-2026")</f>
        <v/>
      </c>
      <c r="Z23">
        <f>HYPERLINK("https://klasma.github.io/Logging_0127/klagomålsmail/A 25319-2026 FSC-klagomål mail.docx", "A 25319-2026")</f>
        <v/>
      </c>
      <c r="AA23">
        <f>HYPERLINK("https://klasma.github.io/Logging_0127/tillsyn/A 25319-2026 tillsynsbegäran.docx", "A 25319-2026")</f>
        <v/>
      </c>
      <c r="AB23">
        <f>HYPERLINK("https://klasma.github.io/Logging_0127/tillsynsmail/A 25319-2026 tillsynsbegäran mail.docx", "A 25319-2026")</f>
        <v/>
      </c>
      <c r="AC23">
        <f>HYPERLINK("https://klasma.github.io/Logging_0127/fåglar/A 25319-2026 prioriterade fågelarter.docx", "A 25319-2026")</f>
        <v/>
      </c>
    </row>
    <row r="24" ht="15" customHeight="1">
      <c r="A24" t="inlineStr">
        <is>
          <t>A 56816-2021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44481</v>
      </c>
      <c r="E24" s="1" t="n">
        <v>46218</v>
      </c>
      <c r="F24" t="inlineStr">
        <is>
          <t>STOCKHOLMS LÄN</t>
        </is>
      </c>
      <c r="G24" t="inlineStr">
        <is>
          <t>BOTKYRKA</t>
        </is>
      </c>
      <c r="I24" t="n">
        <v>10.9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Gulsparv</t>
        </is>
      </c>
      <c r="V24">
        <f>HYPERLINK("https://klasma.github.io/Logging_0127/artfynd/A 56816-2021 artfynd.xlsx", "A 56816-2021")</f>
        <v/>
      </c>
      <c r="W24">
        <f>HYPERLINK("https://klasma.github.io/Logging_0127/kartor/A 56816-2021 karta.png", "A 56816-2021")</f>
        <v/>
      </c>
      <c r="Y24">
        <f>HYPERLINK("https://klasma.github.io/Logging_0127/klagomål/A 56816-2021 FSC-klagomål.docx", "A 56816-2021")</f>
        <v/>
      </c>
      <c r="Z24">
        <f>HYPERLINK("https://klasma.github.io/Logging_0127/klagomålsmail/A 56816-2021 FSC-klagomål mail.docx", "A 56816-2021")</f>
        <v/>
      </c>
      <c r="AA24">
        <f>HYPERLINK("https://klasma.github.io/Logging_0127/tillsyn/A 56816-2021 tillsynsbegäran.docx", "A 56816-2021")</f>
        <v/>
      </c>
      <c r="AB24">
        <f>HYPERLINK("https://klasma.github.io/Logging_0127/tillsynsmail/A 56816-2021 tillsynsbegäran mail.docx", "A 56816-2021")</f>
        <v/>
      </c>
      <c r="AC24">
        <f>HYPERLINK("https://klasma.github.io/Logging_0127/fåglar/A 56816-2021 prioriterade fågelarter.docx", "A 56816-2021")</f>
        <v/>
      </c>
    </row>
    <row r="25" ht="15" customHeight="1">
      <c r="A25" t="inlineStr">
        <is>
          <t>A 1691-2023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44938</v>
      </c>
      <c r="E25" s="1" t="n">
        <v>46218</v>
      </c>
      <c r="F25" t="inlineStr">
        <is>
          <t>STOCKHOLMS LÄN</t>
        </is>
      </c>
      <c r="G25" t="inlineStr">
        <is>
          <t>BOTKYRKA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Tibast</t>
        </is>
      </c>
      <c r="V25">
        <f>HYPERLINK("https://klasma.github.io/Logging_0127/artfynd/A 1691-2023 artfynd.xlsx", "A 1691-2023")</f>
        <v/>
      </c>
      <c r="W25">
        <f>HYPERLINK("https://klasma.github.io/Logging_0127/kartor/A 1691-2023 karta.png", "A 1691-2023")</f>
        <v/>
      </c>
      <c r="Y25">
        <f>HYPERLINK("https://klasma.github.io/Logging_0127/klagomål/A 1691-2023 FSC-klagomål.docx", "A 1691-2023")</f>
        <v/>
      </c>
      <c r="Z25">
        <f>HYPERLINK("https://klasma.github.io/Logging_0127/klagomålsmail/A 1691-2023 FSC-klagomål mail.docx", "A 1691-2023")</f>
        <v/>
      </c>
      <c r="AA25">
        <f>HYPERLINK("https://klasma.github.io/Logging_0127/tillsyn/A 1691-2023 tillsynsbegäran.docx", "A 1691-2023")</f>
        <v/>
      </c>
      <c r="AB25">
        <f>HYPERLINK("https://klasma.github.io/Logging_0127/tillsynsmail/A 1691-2023 tillsynsbegäran mail.docx", "A 1691-2023")</f>
        <v/>
      </c>
    </row>
    <row r="26" ht="15" customHeight="1">
      <c r="A26" t="inlineStr">
        <is>
          <t>A 61514-2022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44916</v>
      </c>
      <c r="E26" s="1" t="n">
        <v>46218</v>
      </c>
      <c r="F26" t="inlineStr">
        <is>
          <t>STOCKHOLMS LÄN</t>
        </is>
      </c>
      <c r="G26" t="inlineStr">
        <is>
          <t>BOTKYRKA</t>
        </is>
      </c>
      <c r="I26" t="n">
        <v>1.3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Vanlig groda</t>
        </is>
      </c>
      <c r="V26">
        <f>HYPERLINK("https://klasma.github.io/Logging_0127/artfynd/A 61514-2022 artfynd.xlsx", "A 61514-2022")</f>
        <v/>
      </c>
      <c r="W26">
        <f>HYPERLINK("https://klasma.github.io/Logging_0127/kartor/A 61514-2022 karta.png", "A 61514-2022")</f>
        <v/>
      </c>
      <c r="Y26">
        <f>HYPERLINK("https://klasma.github.io/Logging_0127/klagomål/A 61514-2022 FSC-klagomål.docx", "A 61514-2022")</f>
        <v/>
      </c>
      <c r="Z26">
        <f>HYPERLINK("https://klasma.github.io/Logging_0127/klagomålsmail/A 61514-2022 FSC-klagomål mail.docx", "A 61514-2022")</f>
        <v/>
      </c>
      <c r="AA26">
        <f>HYPERLINK("https://klasma.github.io/Logging_0127/tillsyn/A 61514-2022 tillsynsbegäran.docx", "A 61514-2022")</f>
        <v/>
      </c>
      <c r="AB26">
        <f>HYPERLINK("https://klasma.github.io/Logging_0127/tillsynsmail/A 61514-2022 tillsynsbegäran mail.docx", "A 61514-2022")</f>
        <v/>
      </c>
    </row>
    <row r="27" ht="15" customHeight="1">
      <c r="A27" t="inlineStr">
        <is>
          <t>A 15690-2023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45020</v>
      </c>
      <c r="E27" s="1" t="n">
        <v>46218</v>
      </c>
      <c r="F27" t="inlineStr">
        <is>
          <t>STOCKHOLMS LÄN</t>
        </is>
      </c>
      <c r="G27" t="inlineStr">
        <is>
          <t>BOTKYRKA</t>
        </is>
      </c>
      <c r="I27" t="n">
        <v>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Gullpudra</t>
        </is>
      </c>
      <c r="V27">
        <f>HYPERLINK("https://klasma.github.io/Logging_0127/artfynd/A 15690-2023 artfynd.xlsx", "A 15690-2023")</f>
        <v/>
      </c>
      <c r="W27">
        <f>HYPERLINK("https://klasma.github.io/Logging_0127/kartor/A 15690-2023 karta.png", "A 15690-2023")</f>
        <v/>
      </c>
      <c r="Y27">
        <f>HYPERLINK("https://klasma.github.io/Logging_0127/klagomål/A 15690-2023 FSC-klagomål.docx", "A 15690-2023")</f>
        <v/>
      </c>
      <c r="Z27">
        <f>HYPERLINK("https://klasma.github.io/Logging_0127/klagomålsmail/A 15690-2023 FSC-klagomål mail.docx", "A 15690-2023")</f>
        <v/>
      </c>
      <c r="AA27">
        <f>HYPERLINK("https://klasma.github.io/Logging_0127/tillsyn/A 15690-2023 tillsynsbegäran.docx", "A 15690-2023")</f>
        <v/>
      </c>
      <c r="AB27">
        <f>HYPERLINK("https://klasma.github.io/Logging_0127/tillsynsmail/A 15690-2023 tillsynsbegäran mail.docx", "A 15690-2023")</f>
        <v/>
      </c>
    </row>
    <row r="28" ht="15" customHeight="1">
      <c r="A28" t="inlineStr">
        <is>
          <t>A 30378-2024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45491</v>
      </c>
      <c r="E28" s="1" t="n">
        <v>46218</v>
      </c>
      <c r="F28" t="inlineStr">
        <is>
          <t>STOCKHOLMS LÄN</t>
        </is>
      </c>
      <c r="G28" t="inlineStr">
        <is>
          <t>BOTKYRKA</t>
        </is>
      </c>
      <c r="I28" t="n">
        <v>0.3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Svinrot</t>
        </is>
      </c>
      <c r="V28">
        <f>HYPERLINK("https://klasma.github.io/Logging_0127/artfynd/A 30378-2024 artfynd.xlsx", "A 30378-2024")</f>
        <v/>
      </c>
      <c r="W28">
        <f>HYPERLINK("https://klasma.github.io/Logging_0127/kartor/A 30378-2024 karta.png", "A 30378-2024")</f>
        <v/>
      </c>
      <c r="Y28">
        <f>HYPERLINK("https://klasma.github.io/Logging_0127/klagomål/A 30378-2024 FSC-klagomål.docx", "A 30378-2024")</f>
        <v/>
      </c>
      <c r="Z28">
        <f>HYPERLINK("https://klasma.github.io/Logging_0127/klagomålsmail/A 30378-2024 FSC-klagomål mail.docx", "A 30378-2024")</f>
        <v/>
      </c>
      <c r="AA28">
        <f>HYPERLINK("https://klasma.github.io/Logging_0127/tillsyn/A 30378-2024 tillsynsbegäran.docx", "A 30378-2024")</f>
        <v/>
      </c>
      <c r="AB28">
        <f>HYPERLINK("https://klasma.github.io/Logging_0127/tillsynsmail/A 30378-2024 tillsynsbegäran mail.docx", "A 30378-2024")</f>
        <v/>
      </c>
    </row>
    <row r="29" ht="15" customHeight="1">
      <c r="A29" t="inlineStr">
        <is>
          <t>A 14214-2025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46218</v>
      </c>
      <c r="F29" t="inlineStr">
        <is>
          <t>STOCKHOLMS LÄN</t>
        </is>
      </c>
      <c r="G29" t="inlineStr">
        <is>
          <t>BOTKYRKA</t>
        </is>
      </c>
      <c r="I29" t="n">
        <v>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s="2" t="inlineStr">
        <is>
          <t>Stare</t>
        </is>
      </c>
      <c r="V29">
        <f>HYPERLINK("https://klasma.github.io/Logging_0127/artfynd/A 14214-2025 artfynd.xlsx", "A 14214-2025")</f>
        <v/>
      </c>
      <c r="W29">
        <f>HYPERLINK("https://klasma.github.io/Logging_0127/kartor/A 14214-2025 karta.png", "A 14214-2025")</f>
        <v/>
      </c>
      <c r="Y29">
        <f>HYPERLINK("https://klasma.github.io/Logging_0127/klagomål/A 14214-2025 FSC-klagomål.docx", "A 14214-2025")</f>
        <v/>
      </c>
      <c r="Z29">
        <f>HYPERLINK("https://klasma.github.io/Logging_0127/klagomålsmail/A 14214-2025 FSC-klagomål mail.docx", "A 14214-2025")</f>
        <v/>
      </c>
      <c r="AA29">
        <f>HYPERLINK("https://klasma.github.io/Logging_0127/tillsyn/A 14214-2025 tillsynsbegäran.docx", "A 14214-2025")</f>
        <v/>
      </c>
      <c r="AB29">
        <f>HYPERLINK("https://klasma.github.io/Logging_0127/tillsynsmail/A 14214-2025 tillsynsbegäran mail.docx", "A 14214-2025")</f>
        <v/>
      </c>
      <c r="AC29">
        <f>HYPERLINK("https://klasma.github.io/Logging_0127/fåglar/A 14214-2025 prioriterade fågelarter.docx", "A 14214-2025")</f>
        <v/>
      </c>
    </row>
    <row r="30" ht="15" customHeight="1">
      <c r="A30" t="inlineStr">
        <is>
          <t>A 3726-2022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44586</v>
      </c>
      <c r="E30" s="1" t="n">
        <v>46218</v>
      </c>
      <c r="F30" t="inlineStr">
        <is>
          <t>STOCKHOLMS LÄN</t>
        </is>
      </c>
      <c r="G30" t="inlineStr">
        <is>
          <t>BOTKYRKA</t>
        </is>
      </c>
      <c r="I30" t="n">
        <v>17.1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Blomkålssvamp</t>
        </is>
      </c>
      <c r="V30">
        <f>HYPERLINK("https://klasma.github.io/Logging_0127/artfynd/A 3726-2022 artfynd.xlsx", "A 3726-2022")</f>
        <v/>
      </c>
      <c r="W30">
        <f>HYPERLINK("https://klasma.github.io/Logging_0127/kartor/A 3726-2022 karta.png", "A 3726-2022")</f>
        <v/>
      </c>
      <c r="Y30">
        <f>HYPERLINK("https://klasma.github.io/Logging_0127/klagomål/A 3726-2022 FSC-klagomål.docx", "A 3726-2022")</f>
        <v/>
      </c>
      <c r="Z30">
        <f>HYPERLINK("https://klasma.github.io/Logging_0127/klagomålsmail/A 3726-2022 FSC-klagomål mail.docx", "A 3726-2022")</f>
        <v/>
      </c>
      <c r="AA30">
        <f>HYPERLINK("https://klasma.github.io/Logging_0127/tillsyn/A 3726-2022 tillsynsbegäran.docx", "A 3726-2022")</f>
        <v/>
      </c>
      <c r="AB30">
        <f>HYPERLINK("https://klasma.github.io/Logging_0127/tillsynsmail/A 3726-2022 tillsynsbegäran mail.docx", "A 3726-2022")</f>
        <v/>
      </c>
    </row>
    <row r="31" ht="15" customHeight="1">
      <c r="A31" t="inlineStr">
        <is>
          <t>A 28983-2024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45481</v>
      </c>
      <c r="E31" s="1" t="n">
        <v>46218</v>
      </c>
      <c r="F31" t="inlineStr">
        <is>
          <t>STOCKHOLMS LÄN</t>
        </is>
      </c>
      <c r="G31" t="inlineStr">
        <is>
          <t>BOTKYRKA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Tibast</t>
        </is>
      </c>
      <c r="V31">
        <f>HYPERLINK("https://klasma.github.io/Logging_0127/artfynd/A 28983-2024 artfynd.xlsx", "A 28983-2024")</f>
        <v/>
      </c>
      <c r="W31">
        <f>HYPERLINK("https://klasma.github.io/Logging_0127/kartor/A 28983-2024 karta.png", "A 28983-2024")</f>
        <v/>
      </c>
      <c r="Y31">
        <f>HYPERLINK("https://klasma.github.io/Logging_0127/klagomål/A 28983-2024 FSC-klagomål.docx", "A 28983-2024")</f>
        <v/>
      </c>
      <c r="Z31">
        <f>HYPERLINK("https://klasma.github.io/Logging_0127/klagomålsmail/A 28983-2024 FSC-klagomål mail.docx", "A 28983-2024")</f>
        <v/>
      </c>
      <c r="AA31">
        <f>HYPERLINK("https://klasma.github.io/Logging_0127/tillsyn/A 28983-2024 tillsynsbegäran.docx", "A 28983-2024")</f>
        <v/>
      </c>
      <c r="AB31">
        <f>HYPERLINK("https://klasma.github.io/Logging_0127/tillsynsmail/A 28983-2024 tillsynsbegäran mail.docx", "A 28983-2024")</f>
        <v/>
      </c>
    </row>
    <row r="32" ht="15" customHeight="1">
      <c r="A32" t="inlineStr">
        <is>
          <t>A 12305-2026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46218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2.4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Spillkråka</t>
        </is>
      </c>
      <c r="V32">
        <f>HYPERLINK("https://klasma.github.io/Logging_0127/artfynd/A 12305-2026 artfynd.xlsx", "A 12305-2026")</f>
        <v/>
      </c>
      <c r="W32">
        <f>HYPERLINK("https://klasma.github.io/Logging_0127/kartor/A 12305-2026 karta.png", "A 12305-2026")</f>
        <v/>
      </c>
      <c r="Y32">
        <f>HYPERLINK("https://klasma.github.io/Logging_0127/klagomål/A 12305-2026 FSC-klagomål.docx", "A 12305-2026")</f>
        <v/>
      </c>
      <c r="Z32">
        <f>HYPERLINK("https://klasma.github.io/Logging_0127/klagomålsmail/A 12305-2026 FSC-klagomål mail.docx", "A 12305-2026")</f>
        <v/>
      </c>
      <c r="AA32">
        <f>HYPERLINK("https://klasma.github.io/Logging_0127/tillsyn/A 12305-2026 tillsynsbegäran.docx", "A 12305-2026")</f>
        <v/>
      </c>
      <c r="AB32">
        <f>HYPERLINK("https://klasma.github.io/Logging_0127/tillsynsmail/A 12305-2026 tillsynsbegäran mail.docx", "A 12305-2026")</f>
        <v/>
      </c>
      <c r="AC32">
        <f>HYPERLINK("https://klasma.github.io/Logging_0127/fåglar/A 12305-2026 prioriterade fågelarter.docx", "A 12305-2026")</f>
        <v/>
      </c>
    </row>
    <row r="33" ht="15" customHeight="1">
      <c r="A33" t="inlineStr">
        <is>
          <t>A 12590-2026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46090</v>
      </c>
      <c r="E33" s="1" t="n">
        <v>46218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1.5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Mindre hackspett</t>
        </is>
      </c>
      <c r="V33">
        <f>HYPERLINK("https://klasma.github.io/Logging_0127/artfynd/A 12590-2026 artfynd.xlsx", "A 12590-2026")</f>
        <v/>
      </c>
      <c r="W33">
        <f>HYPERLINK("https://klasma.github.io/Logging_0127/kartor/A 12590-2026 karta.png", "A 12590-2026")</f>
        <v/>
      </c>
      <c r="Y33">
        <f>HYPERLINK("https://klasma.github.io/Logging_0127/klagomål/A 12590-2026 FSC-klagomål.docx", "A 12590-2026")</f>
        <v/>
      </c>
      <c r="Z33">
        <f>HYPERLINK("https://klasma.github.io/Logging_0127/klagomålsmail/A 12590-2026 FSC-klagomål mail.docx", "A 12590-2026")</f>
        <v/>
      </c>
      <c r="AA33">
        <f>HYPERLINK("https://klasma.github.io/Logging_0127/tillsyn/A 12590-2026 tillsynsbegäran.docx", "A 12590-2026")</f>
        <v/>
      </c>
      <c r="AB33">
        <f>HYPERLINK("https://klasma.github.io/Logging_0127/tillsynsmail/A 12590-2026 tillsynsbegäran mail.docx", "A 12590-2026")</f>
        <v/>
      </c>
      <c r="AC33">
        <f>HYPERLINK("https://klasma.github.io/Logging_0127/fåglar/A 12590-2026 prioriterade fågelarter.docx", "A 12590-2026")</f>
        <v/>
      </c>
    </row>
    <row r="34" ht="15" customHeight="1">
      <c r="A34" t="inlineStr">
        <is>
          <t>A 12842-2026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46218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Fyrflikig jordstjärna</t>
        </is>
      </c>
      <c r="V34">
        <f>HYPERLINK("https://klasma.github.io/Logging_0127/artfynd/A 12842-2026 artfynd.xlsx", "A 12842-2026")</f>
        <v/>
      </c>
      <c r="W34">
        <f>HYPERLINK("https://klasma.github.io/Logging_0127/kartor/A 12842-2026 karta.png", "A 12842-2026")</f>
        <v/>
      </c>
      <c r="Y34">
        <f>HYPERLINK("https://klasma.github.io/Logging_0127/klagomål/A 12842-2026 FSC-klagomål.docx", "A 12842-2026")</f>
        <v/>
      </c>
      <c r="Z34">
        <f>HYPERLINK("https://klasma.github.io/Logging_0127/klagomålsmail/A 12842-2026 FSC-klagomål mail.docx", "A 12842-2026")</f>
        <v/>
      </c>
      <c r="AA34">
        <f>HYPERLINK("https://klasma.github.io/Logging_0127/tillsyn/A 12842-2026 tillsynsbegäran.docx", "A 12842-2026")</f>
        <v/>
      </c>
      <c r="AB34">
        <f>HYPERLINK("https://klasma.github.io/Logging_0127/tillsynsmail/A 12842-2026 tillsynsbegäran mail.docx", "A 12842-2026")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46218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46218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46218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52035-2021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44463</v>
      </c>
      <c r="E38" s="1" t="n">
        <v>46218</v>
      </c>
      <c r="F38" t="inlineStr">
        <is>
          <t>STOCKHOLMS LÄN</t>
        </is>
      </c>
      <c r="G38" t="inlineStr">
        <is>
          <t>BOTKYRKA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48647-2022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46218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73772-2021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44552</v>
      </c>
      <c r="E40" s="1" t="n">
        <v>46218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14202-2025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46218</v>
      </c>
      <c r="F41" t="inlineStr">
        <is>
          <t>STOCKHOLMS LÄN</t>
        </is>
      </c>
      <c r="G41" t="inlineStr">
        <is>
          <t>BOTKYRKA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46405-2022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46218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21285-2023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45062</v>
      </c>
      <c r="E43" s="1" t="n">
        <v>46218</v>
      </c>
      <c r="F43" t="inlineStr">
        <is>
          <t>STOCKHOLMS LÄN</t>
        </is>
      </c>
      <c r="G43" t="inlineStr">
        <is>
          <t>BOTKYRKA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20649-2022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46218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30925-2023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46218</v>
      </c>
      <c r="F45" t="inlineStr">
        <is>
          <t>STOCKHOLMS LÄN</t>
        </is>
      </c>
      <c r="G45" t="inlineStr">
        <is>
          <t>BOTKYRKA</t>
        </is>
      </c>
      <c r="H45" t="inlineStr">
        <is>
          <t>Övriga Aktiebolag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8528-2024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45355</v>
      </c>
      <c r="E46" s="1" t="n">
        <v>46218</v>
      </c>
      <c r="F46" t="inlineStr">
        <is>
          <t>STOCKHOLMS LÄN</t>
        </is>
      </c>
      <c r="G46" t="inlineStr">
        <is>
          <t>BOTKYRKA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45869-2022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44844</v>
      </c>
      <c r="E47" s="1" t="n">
        <v>46218</v>
      </c>
      <c r="F47" t="inlineStr">
        <is>
          <t>STOCKHOLMS LÄN</t>
        </is>
      </c>
      <c r="G47" t="inlineStr">
        <is>
          <t>BOTKYRKA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3686-2022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46218</v>
      </c>
      <c r="F48" t="inlineStr">
        <is>
          <t>STOCKHOLMS LÄN</t>
        </is>
      </c>
      <c r="G48" t="inlineStr">
        <is>
          <t>BOTKYRKA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3021-2025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45678</v>
      </c>
      <c r="E49" s="1" t="n">
        <v>46218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14217-2025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45740</v>
      </c>
      <c r="E50" s="1" t="n">
        <v>46218</v>
      </c>
      <c r="F50" t="inlineStr">
        <is>
          <t>STOCKHOLMS LÄN</t>
        </is>
      </c>
      <c r="G50" t="inlineStr">
        <is>
          <t>BOTKYRKA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15692-2023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45020</v>
      </c>
      <c r="E51" s="1" t="n">
        <v>46218</v>
      </c>
      <c r="F51" t="inlineStr">
        <is>
          <t>STOCKHOLMS LÄN</t>
        </is>
      </c>
      <c r="G51" t="inlineStr">
        <is>
          <t>BOTKYRKA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6059-2022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44599</v>
      </c>
      <c r="E52" s="1" t="n">
        <v>46218</v>
      </c>
      <c r="F52" t="inlineStr">
        <is>
          <t>STOCKHOLMS LÄN</t>
        </is>
      </c>
      <c r="G52" t="inlineStr">
        <is>
          <t>BOTKYRKA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37095-2021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44395</v>
      </c>
      <c r="E53" s="1" t="n">
        <v>46218</v>
      </c>
      <c r="F53" t="inlineStr">
        <is>
          <t>STOCKHOLMS LÄN</t>
        </is>
      </c>
      <c r="G53" t="inlineStr">
        <is>
          <t>BOTKYRKA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73194-2021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46218</v>
      </c>
      <c r="F54" t="inlineStr">
        <is>
          <t>STOCKHOLMS LÄN</t>
        </is>
      </c>
      <c r="G54" t="inlineStr">
        <is>
          <t>BOTKYRKA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73151-2021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46218</v>
      </c>
      <c r="F55" t="inlineStr">
        <is>
          <t>STOCKHOLMS LÄN</t>
        </is>
      </c>
      <c r="G55" t="inlineStr">
        <is>
          <t>BOTKYRKA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9032-2023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44979</v>
      </c>
      <c r="E56" s="1" t="n">
        <v>46218</v>
      </c>
      <c r="F56" t="inlineStr">
        <is>
          <t>STOCKHOLMS LÄN</t>
        </is>
      </c>
      <c r="G56" t="inlineStr">
        <is>
          <t>BOTKYRKA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16483-2023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45029</v>
      </c>
      <c r="E57" s="1" t="n">
        <v>46218</v>
      </c>
      <c r="F57" t="inlineStr">
        <is>
          <t>STOCKHOLMS LÄN</t>
        </is>
      </c>
      <c r="G57" t="inlineStr">
        <is>
          <t>BOTKYRKA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16142-2024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45406</v>
      </c>
      <c r="E58" s="1" t="n">
        <v>46218</v>
      </c>
      <c r="F58" t="inlineStr">
        <is>
          <t>STOCKHOLMS LÄN</t>
        </is>
      </c>
      <c r="G58" t="inlineStr">
        <is>
          <t>BOTKYRKA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73155-2021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44550</v>
      </c>
      <c r="E59" s="1" t="n">
        <v>46218</v>
      </c>
      <c r="F59" t="inlineStr">
        <is>
          <t>STOCKHOLMS LÄN</t>
        </is>
      </c>
      <c r="G59" t="inlineStr">
        <is>
          <t>BOTKYRKA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11876-2024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45376</v>
      </c>
      <c r="E60" s="1" t="n">
        <v>46218</v>
      </c>
      <c r="F60" t="inlineStr">
        <is>
          <t>STOCKHOLMS LÄN</t>
        </is>
      </c>
      <c r="G60" t="inlineStr">
        <is>
          <t>BOTKYRKA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54468-2025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45965</v>
      </c>
      <c r="E61" s="1" t="n">
        <v>46218</v>
      </c>
      <c r="F61" t="inlineStr">
        <is>
          <t>STOCKHOLMS LÄN</t>
        </is>
      </c>
      <c r="G61" t="inlineStr">
        <is>
          <t>BOTKYRKA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48656-2022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46218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38194-2022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46218</v>
      </c>
      <c r="F63" t="inlineStr">
        <is>
          <t>STOCKHOLMS LÄN</t>
        </is>
      </c>
      <c r="G63" t="inlineStr">
        <is>
          <t>BOTKYRKA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11867-2024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45376</v>
      </c>
      <c r="E64" s="1" t="n">
        <v>46218</v>
      </c>
      <c r="F64" t="inlineStr">
        <is>
          <t>STOCKHOLMS LÄN</t>
        </is>
      </c>
      <c r="G64" t="inlineStr">
        <is>
          <t>BOTKYRKA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25217-2024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45462</v>
      </c>
      <c r="E65" s="1" t="n">
        <v>46218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27717-2026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46190</v>
      </c>
      <c r="E66" s="1" t="n">
        <v>46218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30622-2024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45495</v>
      </c>
      <c r="E67" s="1" t="n">
        <v>46218</v>
      </c>
      <c r="F67" t="inlineStr">
        <is>
          <t>STOCKHOLMS LÄN</t>
        </is>
      </c>
      <c r="G67" t="inlineStr">
        <is>
          <t>BOTKYRKA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22391-2026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46154</v>
      </c>
      <c r="E68" s="1" t="n">
        <v>46218</v>
      </c>
      <c r="F68" t="inlineStr">
        <is>
          <t>STOCKHOLMS LÄN</t>
        </is>
      </c>
      <c r="G68" t="inlineStr">
        <is>
          <t>BOTKYRKA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16145-2024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46218</v>
      </c>
      <c r="F69" t="inlineStr">
        <is>
          <t>STOCKHOLMS LÄN</t>
        </is>
      </c>
      <c r="G69" t="inlineStr">
        <is>
          <t>BOTKYRKA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23725-2026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46164</v>
      </c>
      <c r="E70" s="1" t="n">
        <v>46218</v>
      </c>
      <c r="F70" t="inlineStr">
        <is>
          <t>STOCKHOLMS LÄN</t>
        </is>
      </c>
      <c r="G70" t="inlineStr">
        <is>
          <t>BOTKYRKA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23716-2026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46164</v>
      </c>
      <c r="E71" s="1" t="n">
        <v>46218</v>
      </c>
      <c r="F71" t="inlineStr">
        <is>
          <t>STOCKHOLMS LÄN</t>
        </is>
      </c>
      <c r="G71" t="inlineStr">
        <is>
          <t>BOTKYRKA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23718-2026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46164</v>
      </c>
      <c r="E72" s="1" t="n">
        <v>46218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12306-2026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46087</v>
      </c>
      <c r="E73" s="1" t="n">
        <v>46218</v>
      </c>
      <c r="F73" t="inlineStr">
        <is>
          <t>STOCKHOLMS LÄN</t>
        </is>
      </c>
      <c r="G73" t="inlineStr">
        <is>
          <t>BOTKYRKA</t>
        </is>
      </c>
      <c r="H73" t="inlineStr">
        <is>
          <t>Övriga Aktiebolag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12294-2026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46087</v>
      </c>
      <c r="E74" s="1" t="n">
        <v>46218</v>
      </c>
      <c r="F74" t="inlineStr">
        <is>
          <t>STOCKHOLMS LÄN</t>
        </is>
      </c>
      <c r="G74" t="inlineStr">
        <is>
          <t>BOTKYRKA</t>
        </is>
      </c>
      <c r="H74" t="inlineStr">
        <is>
          <t>Övriga Aktiebolag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>
      <c r="A75" t="inlineStr">
        <is>
          <t>S 380-2026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46065</v>
      </c>
      <c r="E75" s="1" t="n">
        <v>46218</v>
      </c>
      <c r="F75" t="inlineStr">
        <is>
          <t>STOCKHOLMS LÄN</t>
        </is>
      </c>
      <c r="G75" t="inlineStr">
        <is>
          <t>BOTKYRKA</t>
        </is>
      </c>
      <c r="H75" t="inlineStr">
        <is>
          <t>Kommuner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2026-07-15T01:28:43Z</dcterms:created>
  <dcterms:modified xmlns:dcterms="http://purl.org/dc/terms/" xmlns:xsi="http://www.w3.org/2001/XMLSchema-instance" xsi:type="dcterms:W3CDTF">2026-07-15T01:28:43Z</dcterms:modified>
</cp:coreProperties>
</file>