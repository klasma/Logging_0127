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45839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45839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45839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45839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45839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45839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45839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45839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45839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45839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45839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45839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45839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45839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45839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45839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30067-2025</t>
        </is>
      </c>
      <c r="B18" s="1" t="n">
        <v>45826</v>
      </c>
      <c r="C18" s="1" t="n">
        <v>45839</v>
      </c>
      <c r="D18" t="inlineStr">
        <is>
          <t>STOCKHOLMS LÄN</t>
        </is>
      </c>
      <c r="E18" t="inlineStr">
        <is>
          <t>BOTKYRKA</t>
        </is>
      </c>
      <c r="G18" t="n">
        <v>11.9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HYPERLINK("https://klasma.github.io/Logging_010127/artfynd/A 30067-2025 artfynd.xlsx", "A 30067-2025")</f>
        <v/>
      </c>
      <c r="T18">
        <f>HYPERLINK("https://klasma.github.io/Logging_010127/kartor/A 30067-2025 karta.png", "A 30067-2025")</f>
        <v/>
      </c>
      <c r="V18">
        <f>HYPERLINK("https://klasma.github.io/Logging_010127/klagomål/A 30067-2025 FSC-klagomål.docx", "A 30067-2025")</f>
        <v/>
      </c>
      <c r="W18">
        <f>HYPERLINK("https://klasma.github.io/Logging_010127/klagomålsmail/A 30067-2025 FSC-klagomål mail.docx", "A 30067-2025")</f>
        <v/>
      </c>
      <c r="X18">
        <f>HYPERLINK("https://klasma.github.io/Logging_010127/tillsyn/A 30067-2025 tillsynsbegäran.docx", "A 30067-2025")</f>
        <v/>
      </c>
      <c r="Y18">
        <f>HYPERLINK("https://klasma.github.io/Logging_010127/tillsynsmail/A 30067-2025 tillsynsbegäran mail.docx", "A 30067-2025")</f>
        <v/>
      </c>
    </row>
    <row r="19" ht="15" customHeight="1">
      <c r="A19" t="inlineStr">
        <is>
          <t>A 2554-2020</t>
        </is>
      </c>
      <c r="B19" s="1" t="n">
        <v>43847</v>
      </c>
      <c r="C19" s="1" t="n">
        <v>45839</v>
      </c>
      <c r="D19" t="inlineStr">
        <is>
          <t>STOCKHOLMS LÄN</t>
        </is>
      </c>
      <c r="E19" t="inlineStr">
        <is>
          <t>BOTKYRKA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HYPERLINK("https://klasma.github.io/Logging_0127/artfynd/A 2554-2020 artfynd.xlsx", "A 2554-2020")</f>
        <v/>
      </c>
      <c r="T19">
        <f>HYPERLINK("https://klasma.github.io/Logging_0127/kartor/A 2554-2020 karta.png", "A 2554-2020")</f>
        <v/>
      </c>
      <c r="V19">
        <f>HYPERLINK("https://klasma.github.io/Logging_0127/klagomål/A 2554-2020 FSC-klagomål.docx", "A 2554-2020")</f>
        <v/>
      </c>
      <c r="W19">
        <f>HYPERLINK("https://klasma.github.io/Logging_0127/klagomålsmail/A 2554-2020 FSC-klagomål mail.docx", "A 2554-2020")</f>
        <v/>
      </c>
      <c r="X19">
        <f>HYPERLINK("https://klasma.github.io/Logging_0127/tillsyn/A 2554-2020 tillsynsbegäran.docx", "A 2554-2020")</f>
        <v/>
      </c>
      <c r="Y19">
        <f>HYPERLINK("https://klasma.github.io/Logging_0127/tillsynsmail/A 2554-2020 tillsynsbegäran mail.docx", "A 2554-2020")</f>
        <v/>
      </c>
      <c r="Z19">
        <f>HYPERLINK("https://klasma.github.io/Logging_0127/fåglar/A 2554-2020 prioriterade fågelarter.docx", "A 2554-2020")</f>
        <v/>
      </c>
    </row>
    <row r="20" ht="15" customHeight="1">
      <c r="A20" t="inlineStr">
        <is>
          <t>A 16236-2020</t>
        </is>
      </c>
      <c r="B20" s="1" t="n">
        <v>43917</v>
      </c>
      <c r="C20" s="1" t="n">
        <v>45839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HYPERLINK("https://klasma.github.io/Logging_0127/artfynd/A 16236-2020 artfynd.xlsx", "A 16236-2020")</f>
        <v/>
      </c>
      <c r="T20">
        <f>HYPERLINK("https://klasma.github.io/Logging_0127/kartor/A 16236-2020 karta.png", "A 16236-2020")</f>
        <v/>
      </c>
      <c r="V20">
        <f>HYPERLINK("https://klasma.github.io/Logging_0127/klagomål/A 16236-2020 FSC-klagomål.docx", "A 16236-2020")</f>
        <v/>
      </c>
      <c r="W20">
        <f>HYPERLINK("https://klasma.github.io/Logging_0127/klagomålsmail/A 16236-2020 FSC-klagomål mail.docx", "A 16236-2020")</f>
        <v/>
      </c>
      <c r="X20">
        <f>HYPERLINK("https://klasma.github.io/Logging_0127/tillsyn/A 16236-2020 tillsynsbegäran.docx", "A 16236-2020")</f>
        <v/>
      </c>
      <c r="Y20">
        <f>HYPERLINK("https://klasma.github.io/Logging_0127/tillsynsmail/A 16236-2020 tillsynsbegäran mail.docx", "A 16236-2020")</f>
        <v/>
      </c>
    </row>
    <row r="21" ht="15" customHeight="1">
      <c r="A21" t="inlineStr">
        <is>
          <t>A 34971-2020</t>
        </is>
      </c>
      <c r="B21" s="1" t="n">
        <v>44039</v>
      </c>
      <c r="C21" s="1" t="n">
        <v>45839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34971-2020 artfynd.xlsx", "A 34971-2020")</f>
        <v/>
      </c>
      <c r="T21">
        <f>HYPERLINK("https://klasma.github.io/Logging_0127/kartor/A 34971-2020 karta.png", "A 34971-2020")</f>
        <v/>
      </c>
      <c r="V21">
        <f>HYPERLINK("https://klasma.github.io/Logging_0127/klagomål/A 34971-2020 FSC-klagomål.docx", "A 34971-2020")</f>
        <v/>
      </c>
      <c r="W21">
        <f>HYPERLINK("https://klasma.github.io/Logging_0127/klagomålsmail/A 34971-2020 FSC-klagomål mail.docx", "A 34971-2020")</f>
        <v/>
      </c>
      <c r="X21">
        <f>HYPERLINK("https://klasma.github.io/Logging_0127/tillsyn/A 34971-2020 tillsynsbegäran.docx", "A 34971-2020")</f>
        <v/>
      </c>
      <c r="Y21">
        <f>HYPERLINK("https://klasma.github.io/Logging_0127/tillsynsmail/A 34971-2020 tillsynsbegäran mail.docx", "A 34971-2020")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45839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10469-2022</t>
        </is>
      </c>
      <c r="B23" s="1" t="n">
        <v>44623</v>
      </c>
      <c r="C23" s="1" t="n">
        <v>45839</v>
      </c>
      <c r="D23" t="inlineStr">
        <is>
          <t>STOCKHOLMS LÄN</t>
        </is>
      </c>
      <c r="E23" t="inlineStr">
        <is>
          <t>BOTKYRKA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10469-2022 artfynd.xlsx", "A 10469-2022")</f>
        <v/>
      </c>
      <c r="T23">
        <f>HYPERLINK("https://klasma.github.io/Logging_0127/kartor/A 10469-2022 karta.png", "A 10469-2022")</f>
        <v/>
      </c>
      <c r="V23">
        <f>HYPERLINK("https://klasma.github.io/Logging_0127/klagomål/A 10469-2022 FSC-klagomål.docx", "A 10469-2022")</f>
        <v/>
      </c>
      <c r="W23">
        <f>HYPERLINK("https://klasma.github.io/Logging_0127/klagomålsmail/A 10469-2022 FSC-klagomål mail.docx", "A 10469-2022")</f>
        <v/>
      </c>
      <c r="X23">
        <f>HYPERLINK("https://klasma.github.io/Logging_0127/tillsyn/A 10469-2022 tillsynsbegäran.docx", "A 10469-2022")</f>
        <v/>
      </c>
      <c r="Y23">
        <f>HYPERLINK("https://klasma.github.io/Logging_0127/tillsynsmail/A 10469-2022 tillsynsbegäran mail.docx", "A 10469-2022")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45839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45839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5574-2023</t>
        </is>
      </c>
      <c r="B26" s="1" t="n">
        <v>44960</v>
      </c>
      <c r="C26" s="1" t="n">
        <v>45839</v>
      </c>
      <c r="D26" t="inlineStr">
        <is>
          <t>STOCKHOLMS LÄN</t>
        </is>
      </c>
      <c r="E26" t="inlineStr">
        <is>
          <t>BOTKYRKA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5574-2023 artfynd.xlsx", "A 5574-2023")</f>
        <v/>
      </c>
      <c r="T26">
        <f>HYPERLINK("https://klasma.github.io/Logging_0127/kartor/A 5574-2023 karta.png", "A 5574-2023")</f>
        <v/>
      </c>
      <c r="V26">
        <f>HYPERLINK("https://klasma.github.io/Logging_0127/klagomål/A 5574-2023 FSC-klagomål.docx", "A 5574-2023")</f>
        <v/>
      </c>
      <c r="W26">
        <f>HYPERLINK("https://klasma.github.io/Logging_0127/klagomålsmail/A 5574-2023 FSC-klagomål mail.docx", "A 5574-2023")</f>
        <v/>
      </c>
      <c r="X26">
        <f>HYPERLINK("https://klasma.github.io/Logging_0127/tillsyn/A 5574-2023 tillsynsbegäran.docx", "A 5574-2023")</f>
        <v/>
      </c>
      <c r="Y26">
        <f>HYPERLINK("https://klasma.github.io/Logging_0127/tillsynsmail/A 5574-2023 tillsynsbegäran mail.docx", "A 5574-2023")</f>
        <v/>
      </c>
    </row>
    <row r="27" ht="15" customHeight="1">
      <c r="A27" t="inlineStr">
        <is>
          <t>A 23829-2023</t>
        </is>
      </c>
      <c r="B27" s="1" t="n">
        <v>45078</v>
      </c>
      <c r="C27" s="1" t="n">
        <v>45839</v>
      </c>
      <c r="D27" t="inlineStr">
        <is>
          <t>STOCKHOLMS LÄN</t>
        </is>
      </c>
      <c r="E27" t="inlineStr">
        <is>
          <t>BOTKYRKA</t>
        </is>
      </c>
      <c r="F27" t="inlineStr">
        <is>
          <t>Kommuner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HYPERLINK("https://klasma.github.io/Logging_0127/artfynd/A 23829-2023 artfynd.xlsx", "A 23829-2023")</f>
        <v/>
      </c>
      <c r="T27">
        <f>HYPERLINK("https://klasma.github.io/Logging_0127/kartor/A 23829-2023 karta.png", "A 23829-2023")</f>
        <v/>
      </c>
      <c r="V27">
        <f>HYPERLINK("https://klasma.github.io/Logging_0127/klagomål/A 23829-2023 FSC-klagomål.docx", "A 23829-2023")</f>
        <v/>
      </c>
      <c r="W27">
        <f>HYPERLINK("https://klasma.github.io/Logging_0127/klagomålsmail/A 23829-2023 FSC-klagomål mail.docx", "A 23829-2023")</f>
        <v/>
      </c>
      <c r="X27">
        <f>HYPERLINK("https://klasma.github.io/Logging_0127/tillsyn/A 23829-2023 tillsynsbegäran.docx", "A 23829-2023")</f>
        <v/>
      </c>
      <c r="Y27">
        <f>HYPERLINK("https://klasma.github.io/Logging_0127/tillsynsmail/A 23829-2023 tillsynsbegäran mail.docx", "A 23829-2023")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45839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HYPERLINK("https://klasma.github.io/Logging_010127/artfynd/A 14214-2025 artfynd.xlsx", "A 14214-2025")</f>
        <v/>
      </c>
      <c r="T28">
        <f>HYPERLINK("https://klasma.github.io/Logging_010127/kartor/A 14214-2025 karta.png", "A 14214-2025")</f>
        <v/>
      </c>
      <c r="V28">
        <f>HYPERLINK("https://klasma.github.io/Logging_010127/klagomål/A 14214-2025 FSC-klagomål.docx", "A 14214-2025")</f>
        <v/>
      </c>
      <c r="W28">
        <f>HYPERLINK("https://klasma.github.io/Logging_010127/klagomålsmail/A 14214-2025 FSC-klagomål mail.docx", "A 14214-2025")</f>
        <v/>
      </c>
      <c r="X28">
        <f>HYPERLINK("https://klasma.github.io/Logging_010127/tillsyn/A 14214-2025 tillsynsbegäran.docx", "A 14214-2025")</f>
        <v/>
      </c>
      <c r="Y28">
        <f>HYPERLINK("https://klasma.github.io/Logging_010127/tillsynsmail/A 14214-2025 tillsynsbegäran mail.docx", "A 14214-2025")</f>
        <v/>
      </c>
    </row>
    <row r="29" ht="15" customHeight="1">
      <c r="A29" t="inlineStr">
        <is>
          <t>A 40642-2019</t>
        </is>
      </c>
      <c r="B29" s="1" t="n">
        <v>43696</v>
      </c>
      <c r="C29" s="1" t="n">
        <v>45839</v>
      </c>
      <c r="D29" t="inlineStr">
        <is>
          <t>STOCKHOLMS LÄN</t>
        </is>
      </c>
      <c r="E29" t="inlineStr">
        <is>
          <t>BOTKYRKA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40641-2019</t>
        </is>
      </c>
      <c r="B30" s="1" t="n">
        <v>43696</v>
      </c>
      <c r="C30" s="1" t="n">
        <v>45839</v>
      </c>
      <c r="D30" t="inlineStr">
        <is>
          <t>STOCKHOLMS LÄN</t>
        </is>
      </c>
      <c r="E30" t="inlineStr">
        <is>
          <t>BOTKYRKA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42448-2019</t>
        </is>
      </c>
      <c r="B31" s="1" t="n">
        <v>43704</v>
      </c>
      <c r="C31" s="1" t="n">
        <v>45839</v>
      </c>
      <c r="D31" t="inlineStr">
        <is>
          <t>STOCKHOLMS LÄN</t>
        </is>
      </c>
      <c r="E31" t="inlineStr">
        <is>
          <t>BOTKYRKA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51387-2019</t>
        </is>
      </c>
      <c r="B32" s="1" t="n">
        <v>43740</v>
      </c>
      <c r="C32" s="1" t="n">
        <v>45839</v>
      </c>
      <c r="D32" t="inlineStr">
        <is>
          <t>STOCKHOLMS LÄN</t>
        </is>
      </c>
      <c r="E32" t="inlineStr">
        <is>
          <t>BOTKYRKA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10790-2020</t>
        </is>
      </c>
      <c r="B33" s="1" t="n">
        <v>43888</v>
      </c>
      <c r="C33" s="1" t="n">
        <v>45839</v>
      </c>
      <c r="D33" t="inlineStr">
        <is>
          <t>STOCKHOLMS LÄN</t>
        </is>
      </c>
      <c r="E33" t="inlineStr">
        <is>
          <t>BOTKYRKA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10807-2020</t>
        </is>
      </c>
      <c r="B34" s="1" t="n">
        <v>43888</v>
      </c>
      <c r="C34" s="1" t="n">
        <v>45839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12321-2020</t>
        </is>
      </c>
      <c r="B35" s="1" t="n">
        <v>43895</v>
      </c>
      <c r="C35" s="1" t="n">
        <v>45839</v>
      </c>
      <c r="D35" t="inlineStr">
        <is>
          <t>STOCKHOLMS LÄN</t>
        </is>
      </c>
      <c r="E35" t="inlineStr">
        <is>
          <t>BOTKYRKA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12320-2020</t>
        </is>
      </c>
      <c r="B36" s="1" t="n">
        <v>43895</v>
      </c>
      <c r="C36" s="1" t="n">
        <v>45839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12988-2020</t>
        </is>
      </c>
      <c r="B37" s="1" t="n">
        <v>43900</v>
      </c>
      <c r="C37" s="1" t="n">
        <v>45839</v>
      </c>
      <c r="D37" t="inlineStr">
        <is>
          <t>STOCKHOLMS LÄN</t>
        </is>
      </c>
      <c r="E37" t="inlineStr">
        <is>
          <t>BOTKYRKA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16048-2020</t>
        </is>
      </c>
      <c r="B38" s="1" t="n">
        <v>43916</v>
      </c>
      <c r="C38" s="1" t="n">
        <v>45839</v>
      </c>
      <c r="D38" t="inlineStr">
        <is>
          <t>STOCKHOLMS LÄN</t>
        </is>
      </c>
      <c r="E38" t="inlineStr">
        <is>
          <t>BOTKYRKA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21645-2020</t>
        </is>
      </c>
      <c r="B39" s="1" t="n">
        <v>43956</v>
      </c>
      <c r="C39" s="1" t="n">
        <v>45839</v>
      </c>
      <c r="D39" t="inlineStr">
        <is>
          <t>STOCKHOLMS LÄN</t>
        </is>
      </c>
      <c r="E39" t="inlineStr">
        <is>
          <t>BOTKYRKA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23426-2020</t>
        </is>
      </c>
      <c r="B40" s="1" t="n">
        <v>43969</v>
      </c>
      <c r="C40" s="1" t="n">
        <v>45839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33881-2020</t>
        </is>
      </c>
      <c r="B41" s="1" t="n">
        <v>44025</v>
      </c>
      <c r="C41" s="1" t="n">
        <v>45839</v>
      </c>
      <c r="D41" t="inlineStr">
        <is>
          <t>STOCKHOLMS LÄN</t>
        </is>
      </c>
      <c r="E41" t="inlineStr">
        <is>
          <t>BOTKYRKA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39531-2020</t>
        </is>
      </c>
      <c r="B42" s="1" t="n">
        <v>44064</v>
      </c>
      <c r="C42" s="1" t="n">
        <v>45839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45839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53979-2020</t>
        </is>
      </c>
      <c r="B44" s="1" t="n">
        <v>44125</v>
      </c>
      <c r="C44" s="1" t="n">
        <v>45839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55200-2020</t>
        </is>
      </c>
      <c r="B45" s="1" t="n">
        <v>44130</v>
      </c>
      <c r="C45" s="1" t="n">
        <v>45839</v>
      </c>
      <c r="D45" t="inlineStr">
        <is>
          <t>STOCKHOLMS LÄN</t>
        </is>
      </c>
      <c r="E45" t="inlineStr">
        <is>
          <t>BOTKYRKA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57809-2020</t>
        </is>
      </c>
      <c r="B46" s="1" t="n">
        <v>44141</v>
      </c>
      <c r="C46" s="1" t="n">
        <v>45839</v>
      </c>
      <c r="D46" t="inlineStr">
        <is>
          <t>STOCKHOLMS LÄN</t>
        </is>
      </c>
      <c r="E46" t="inlineStr">
        <is>
          <t>BOTKYRKA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58517-2020</t>
        </is>
      </c>
      <c r="B47" s="1" t="n">
        <v>44145</v>
      </c>
      <c r="C47" s="1" t="n">
        <v>45839</v>
      </c>
      <c r="D47" t="inlineStr">
        <is>
          <t>STOCKHOLMS LÄN</t>
        </is>
      </c>
      <c r="E47" t="inlineStr">
        <is>
          <t>BOTKYRKA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58531-2020</t>
        </is>
      </c>
      <c r="B48" s="1" t="n">
        <v>44145</v>
      </c>
      <c r="C48" s="1" t="n">
        <v>45839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177-2021</t>
        </is>
      </c>
      <c r="B49" s="1" t="n">
        <v>44200</v>
      </c>
      <c r="C49" s="1" t="n">
        <v>45839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4281-2021</t>
        </is>
      </c>
      <c r="B50" s="1" t="n">
        <v>44223</v>
      </c>
      <c r="C50" s="1" t="n">
        <v>45839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10808-2021</t>
        </is>
      </c>
      <c r="B51" s="1" t="n">
        <v>44259</v>
      </c>
      <c r="C51" s="1" t="n">
        <v>45839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10817-2021</t>
        </is>
      </c>
      <c r="B52" s="1" t="n">
        <v>44259</v>
      </c>
      <c r="C52" s="1" t="n">
        <v>45839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45839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20210-2021</t>
        </is>
      </c>
      <c r="B54" s="1" t="n">
        <v>44314</v>
      </c>
      <c r="C54" s="1" t="n">
        <v>45839</v>
      </c>
      <c r="D54" t="inlineStr">
        <is>
          <t>STOCKHOLMS LÄN</t>
        </is>
      </c>
      <c r="E54" t="inlineStr">
        <is>
          <t>BOTKYRKA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27791-2021</t>
        </is>
      </c>
      <c r="B55" s="1" t="n">
        <v>44354</v>
      </c>
      <c r="C55" s="1" t="n">
        <v>45839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33016-2021</t>
        </is>
      </c>
      <c r="B56" s="1" t="n">
        <v>44376</v>
      </c>
      <c r="C56" s="1" t="n">
        <v>45839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33015-2021</t>
        </is>
      </c>
      <c r="B57" s="1" t="n">
        <v>44376</v>
      </c>
      <c r="C57" s="1" t="n">
        <v>45839</v>
      </c>
      <c r="D57" t="inlineStr">
        <is>
          <t>STOCKHOLMS LÄN</t>
        </is>
      </c>
      <c r="E57" t="inlineStr">
        <is>
          <t>BOTKYRKA</t>
        </is>
      </c>
      <c r="G57" t="n">
        <v>48.7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35492-2021</t>
        </is>
      </c>
      <c r="B58" s="1" t="n">
        <v>44385</v>
      </c>
      <c r="C58" s="1" t="n">
        <v>45839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45839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45839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43717-2021</t>
        </is>
      </c>
      <c r="B61" s="1" t="n">
        <v>44433</v>
      </c>
      <c r="C61" s="1" t="n">
        <v>45839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52035-2021</t>
        </is>
      </c>
      <c r="B62" s="1" t="n">
        <v>44463</v>
      </c>
      <c r="C62" s="1" t="n">
        <v>45839</v>
      </c>
      <c r="D62" t="inlineStr">
        <is>
          <t>STOCKHOLMS LÄN</t>
        </is>
      </c>
      <c r="E62" t="inlineStr">
        <is>
          <t>BOTKYRKA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45839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45839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</v>
      </c>
      <c r="C65" s="1" t="n">
        <v>45839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73772-2021</t>
        </is>
      </c>
      <c r="B66" s="1" t="n">
        <v>44552</v>
      </c>
      <c r="C66" s="1" t="n">
        <v>45839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3681-2022</t>
        </is>
      </c>
      <c r="B67" s="1" t="n">
        <v>44586</v>
      </c>
      <c r="C67" s="1" t="n">
        <v>45839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</v>
      </c>
      <c r="C68" s="1" t="n">
        <v>45839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3671-2022</t>
        </is>
      </c>
      <c r="B69" s="1" t="n">
        <v>44586</v>
      </c>
      <c r="C69" s="1" t="n">
        <v>45839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3726-2022</t>
        </is>
      </c>
      <c r="B70" s="1" t="n">
        <v>44586</v>
      </c>
      <c r="C70" s="1" t="n">
        <v>45839</v>
      </c>
      <c r="D70" t="inlineStr">
        <is>
          <t>STOCKHOLMS LÄN</t>
        </is>
      </c>
      <c r="E70" t="inlineStr">
        <is>
          <t>BOTKYRKA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45839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11095-2022</t>
        </is>
      </c>
      <c r="B72" s="1" t="n">
        <v>44628</v>
      </c>
      <c r="C72" s="1" t="n">
        <v>45839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15825-2022</t>
        </is>
      </c>
      <c r="B73" s="1" t="n">
        <v>44664</v>
      </c>
      <c r="C73" s="1" t="n">
        <v>45839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45839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17789-2022</t>
        </is>
      </c>
      <c r="B75" s="1" t="n">
        <v>44680</v>
      </c>
      <c r="C75" s="1" t="n">
        <v>45839</v>
      </c>
      <c r="D75" t="inlineStr">
        <is>
          <t>STOCKHOLMS LÄN</t>
        </is>
      </c>
      <c r="E75" t="inlineStr">
        <is>
          <t>BOTKYRKA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18093-2022</t>
        </is>
      </c>
      <c r="B76" s="1" t="n">
        <v>44684</v>
      </c>
      <c r="C76" s="1" t="n">
        <v>45839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20649-2022</t>
        </is>
      </c>
      <c r="B77" s="1" t="n">
        <v>44700</v>
      </c>
      <c r="C77" s="1" t="n">
        <v>45839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32828-2022</t>
        </is>
      </c>
      <c r="B78" s="1" t="n">
        <v>44784</v>
      </c>
      <c r="C78" s="1" t="n">
        <v>45839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38194-2022</t>
        </is>
      </c>
      <c r="B79" s="1" t="n">
        <v>44812</v>
      </c>
      <c r="C79" s="1" t="n">
        <v>45839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38202-2022</t>
        </is>
      </c>
      <c r="B80" s="1" t="n">
        <v>44812</v>
      </c>
      <c r="C80" s="1" t="n">
        <v>45839</v>
      </c>
      <c r="D80" t="inlineStr">
        <is>
          <t>STOCKHOLMS LÄN</t>
        </is>
      </c>
      <c r="E80" t="inlineStr">
        <is>
          <t>BOTKYRKA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38196-2022</t>
        </is>
      </c>
      <c r="B81" s="1" t="n">
        <v>44812</v>
      </c>
      <c r="C81" s="1" t="n">
        <v>45839</v>
      </c>
      <c r="D81" t="inlineStr">
        <is>
          <t>STOCKHOLMS LÄN</t>
        </is>
      </c>
      <c r="E81" t="inlineStr">
        <is>
          <t>BOTKYRKA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38543-2022</t>
        </is>
      </c>
      <c r="B82" s="1" t="n">
        <v>44813</v>
      </c>
      <c r="C82" s="1" t="n">
        <v>45839</v>
      </c>
      <c r="D82" t="inlineStr">
        <is>
          <t>STOCKHOLMS LÄN</t>
        </is>
      </c>
      <c r="E82" t="inlineStr">
        <is>
          <t>BOTKYRKA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45869-2022</t>
        </is>
      </c>
      <c r="B83" s="1" t="n">
        <v>44844</v>
      </c>
      <c r="C83" s="1" t="n">
        <v>45839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46405-2022</t>
        </is>
      </c>
      <c r="B84" s="1" t="n">
        <v>44846</v>
      </c>
      <c r="C84" s="1" t="n">
        <v>45839</v>
      </c>
      <c r="D84" t="inlineStr">
        <is>
          <t>STOCKHOLMS LÄN</t>
        </is>
      </c>
      <c r="E84" t="inlineStr">
        <is>
          <t>BOTKYRKA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47617-2022</t>
        </is>
      </c>
      <c r="B85" s="1" t="n">
        <v>44852</v>
      </c>
      <c r="C85" s="1" t="n">
        <v>45839</v>
      </c>
      <c r="D85" t="inlineStr">
        <is>
          <t>STOCKHOLMS LÄN</t>
        </is>
      </c>
      <c r="E85" t="inlineStr">
        <is>
          <t>BOTKYRKA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48647-2022</t>
        </is>
      </c>
      <c r="B86" s="1" t="n">
        <v>44859</v>
      </c>
      <c r="C86" s="1" t="n">
        <v>45839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48667-2022</t>
        </is>
      </c>
      <c r="B87" s="1" t="n">
        <v>44859</v>
      </c>
      <c r="C87" s="1" t="n">
        <v>45839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48656-2022</t>
        </is>
      </c>
      <c r="B88" s="1" t="n">
        <v>44859</v>
      </c>
      <c r="C88" s="1" t="n">
        <v>45839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57876-2022</t>
        </is>
      </c>
      <c r="B89" s="1" t="n">
        <v>44899</v>
      </c>
      <c r="C89" s="1" t="n">
        <v>45839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58618-2022</t>
        </is>
      </c>
      <c r="B90" s="1" t="n">
        <v>44902</v>
      </c>
      <c r="C90" s="1" t="n">
        <v>45839</v>
      </c>
      <c r="D90" t="inlineStr">
        <is>
          <t>STOCKHOLMS LÄN</t>
        </is>
      </c>
      <c r="E90" t="inlineStr">
        <is>
          <t>BOTKYRKA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61242-2022</t>
        </is>
      </c>
      <c r="B91" s="1" t="n">
        <v>44915</v>
      </c>
      <c r="C91" s="1" t="n">
        <v>45839</v>
      </c>
      <c r="D91" t="inlineStr">
        <is>
          <t>STOCKHOLMS LÄN</t>
        </is>
      </c>
      <c r="E91" t="inlineStr">
        <is>
          <t>BOTKYRKA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61225-2022</t>
        </is>
      </c>
      <c r="B92" s="1" t="n">
        <v>44915</v>
      </c>
      <c r="C92" s="1" t="n">
        <v>45839</v>
      </c>
      <c r="D92" t="inlineStr">
        <is>
          <t>STOCKHOLMS LÄN</t>
        </is>
      </c>
      <c r="E92" t="inlineStr">
        <is>
          <t>BOTKYRKA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61516-2022</t>
        </is>
      </c>
      <c r="B93" s="1" t="n">
        <v>44916</v>
      </c>
      <c r="C93" s="1" t="n">
        <v>45839</v>
      </c>
      <c r="D93" t="inlineStr">
        <is>
          <t>STOCKHOLMS LÄN</t>
        </is>
      </c>
      <c r="E93" t="inlineStr">
        <is>
          <t>BOTKYRKA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61514-2022</t>
        </is>
      </c>
      <c r="B94" s="1" t="n">
        <v>44916</v>
      </c>
      <c r="C94" s="1" t="n">
        <v>45839</v>
      </c>
      <c r="D94" t="inlineStr">
        <is>
          <t>STOCKHOLMS LÄN</t>
        </is>
      </c>
      <c r="E94" t="inlineStr">
        <is>
          <t>BOTKYRKA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695-2023</t>
        </is>
      </c>
      <c r="B95" s="1" t="n">
        <v>44930</v>
      </c>
      <c r="C95" s="1" t="n">
        <v>45839</v>
      </c>
      <c r="D95" t="inlineStr">
        <is>
          <t>STOCKHOLMS LÄN</t>
        </is>
      </c>
      <c r="E95" t="inlineStr">
        <is>
          <t>BOTKYRKA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1347-2023</t>
        </is>
      </c>
      <c r="B96" s="1" t="n">
        <v>44936</v>
      </c>
      <c r="C96" s="1" t="n">
        <v>45839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45839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45839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45839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45839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45839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45839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45839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45839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45839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45839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45839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45839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45839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45839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45839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45839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45839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45839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45839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45839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45839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45839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45839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45839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45839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45839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45839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45839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45839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45839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45839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45839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45839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45839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45839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45839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45839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45839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45839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45839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45839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45839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45839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45839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45839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45839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45839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45839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45839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45839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45839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45839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45839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45839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45839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17446-2025</t>
        </is>
      </c>
      <c r="B152" s="1" t="n">
        <v>45757</v>
      </c>
      <c r="C152" s="1" t="n">
        <v>45839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2025-07-01T18:50:28Z</dcterms:created>
  <dcterms:modified xmlns:dcterms="http://purl.org/dc/terms/" xmlns:xsi="http://www.w3.org/2001/XMLSchema-instance" xsi:type="dcterms:W3CDTF">2025-07-01T18:50:28Z</dcterms:modified>
</cp:coreProperties>
</file>