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46258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46258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46258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695-2023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44930</v>
      </c>
      <c r="E5" s="1" t="n">
        <v>46258</v>
      </c>
      <c r="F5" t="inlineStr">
        <is>
          <t>STOCKHOLMS LÄN</t>
        </is>
      </c>
      <c r="G5" t="inlineStr">
        <is>
          <t>BOTKYRKA</t>
        </is>
      </c>
      <c r="I5" t="n">
        <v>13.6</v>
      </c>
      <c r="J5" t="n">
        <v>8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10</v>
      </c>
      <c r="T5" t="n">
        <v>18</v>
      </c>
      <c r="U5" t="n">
        <v>18</v>
      </c>
      <c r="V5" s="2" t="inlineStr">
        <is>
          <t>Brunlångöra
Dropptaggsvamp
Gulsparv
Motaggsvamp
Nordfladdermus
Spillkråka
Dvärgpipistrell
Kungsfågel
Större brunfladdermus
Vattenfladdermus</t>
        </is>
      </c>
      <c r="W5">
        <f>HYPERLINK("https://klasma.github.io/Logging_0127/artfynd/A 695-2023 artfynd.xlsx", "A 695-2023")</f>
        <v/>
      </c>
      <c r="X5">
        <f>HYPERLINK("https://klasma.github.io/Logging_0127/kartor/A 695-2023 karta.png", "A 695-2023")</f>
        <v/>
      </c>
      <c r="Y5">
        <f>HYPERLINK("https://klasma.github.io/Logging_0127/kartor_geotiff/A 695-2023 georefererad karta.tif", "A 695-2023")</f>
        <v/>
      </c>
      <c r="AA5">
        <f>HYPERLINK("https://klasma.github.io/Logging_0127/klagomål/A 695-2023 FSC-klagomål.docx", "A 695-2023")</f>
        <v/>
      </c>
      <c r="AB5">
        <f>HYPERLINK("https://klasma.github.io/Logging_0127/klagomålsmail/A 695-2023 FSC-klagomål mail.docx", "A 695-2023")</f>
        <v/>
      </c>
      <c r="AC5">
        <f>HYPERLINK("https://klasma.github.io/Logging_0127/tillsyn/A 695-2023 tillsynsbegäran.docx", "A 695-2023")</f>
        <v/>
      </c>
      <c r="AD5">
        <f>HYPERLINK("https://klasma.github.io/Logging_0127/tillsynsmail/A 695-2023 tillsynsbegäran mail.docx", "A 695-2023")</f>
        <v/>
      </c>
      <c r="AE5">
        <f>HYPERLINK("https://klasma.github.io/Logging_0127/fåglar/A 695-2023 prioriterade fågelarter.docx", "A 695-2023")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46258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46258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46258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12818-2026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46092</v>
      </c>
      <c r="E9" s="1" t="n">
        <v>46258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0.9</v>
      </c>
      <c r="J9" t="n">
        <v>3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8</v>
      </c>
      <c r="T9" t="n">
        <v>13</v>
      </c>
      <c r="U9" t="n">
        <v>3</v>
      </c>
      <c r="V9" s="2" t="inlineStr">
        <is>
          <t>Motaggsvamp
Vintertagging
Blomkålssvamp
Blåmossa
Grovticka
Nattskärra
Tofsmes
Kungsfågel</t>
        </is>
      </c>
      <c r="W9">
        <f>HYPERLINK("https://klasma.github.io/Logging_0127/artfynd/A 12818-2026 artfynd.xlsx", "A 12818-2026")</f>
        <v/>
      </c>
      <c r="X9">
        <f>HYPERLINK("https://klasma.github.io/Logging_0127/kartor/A 12818-2026 karta.png", "A 12818-2026")</f>
        <v/>
      </c>
      <c r="Y9">
        <f>HYPERLINK("https://klasma.github.io/Logging_0127/kartor_geotiff/A 12818-2026 georefererad karta.tif", "A 12818-2026")</f>
        <v/>
      </c>
      <c r="AA9">
        <f>HYPERLINK("https://klasma.github.io/Logging_0127/klagomål/A 12818-2026 FSC-klagomål.docx", "A 12818-2026")</f>
        <v/>
      </c>
      <c r="AB9">
        <f>HYPERLINK("https://klasma.github.io/Logging_0127/klagomålsmail/A 12818-2026 FSC-klagomål mail.docx", "A 12818-2026")</f>
        <v/>
      </c>
      <c r="AC9">
        <f>HYPERLINK("https://klasma.github.io/Logging_0127/tillsyn/A 12818-2026 tillsynsbegäran.docx", "A 12818-2026")</f>
        <v/>
      </c>
      <c r="AD9">
        <f>HYPERLINK("https://klasma.github.io/Logging_0127/tillsynsmail/A 12818-2026 tillsynsbegäran mail.docx", "A 12818-2026")</f>
        <v/>
      </c>
      <c r="AE9">
        <f>HYPERLINK("https://klasma.github.io/Logging_0127/fåglar/A 12818-2026 prioriterade fågelarter.docx", "A 12818-2026")</f>
        <v/>
      </c>
    </row>
    <row r="10" ht="15" customHeight="1">
      <c r="A10" t="inlineStr">
        <is>
          <t>A 60416-2025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45995</v>
      </c>
      <c r="E10" s="1" t="n">
        <v>46258</v>
      </c>
      <c r="F10" t="inlineStr">
        <is>
          <t>STOCKHOLMS LÄN</t>
        </is>
      </c>
      <c r="G10" t="inlineStr">
        <is>
          <t>BOTKYRKA</t>
        </is>
      </c>
      <c r="H10" t="inlineStr">
        <is>
          <t>Övriga Aktiebolag</t>
        </is>
      </c>
      <c r="I10" t="n">
        <v>1.9</v>
      </c>
      <c r="J10" t="n">
        <v>5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18</v>
      </c>
      <c r="U10" t="n">
        <v>17</v>
      </c>
      <c r="V10" s="2" t="inlineStr">
        <is>
          <t>Entita
Mindre hackspett
Tallticka
Talltita
Mindre märgborre
Spillkråka
Gröngöling</t>
        </is>
      </c>
      <c r="W10">
        <f>HYPERLINK("https://klasma.github.io/Logging_0127/artfynd/A 60416-2025 artfynd.xlsx", "A 60416-2025")</f>
        <v/>
      </c>
      <c r="X10">
        <f>HYPERLINK("https://klasma.github.io/Logging_0127/kartor/A 60416-2025 karta.png", "A 60416-2025")</f>
        <v/>
      </c>
      <c r="Y10">
        <f>HYPERLINK("https://klasma.github.io/Logging_0127/kartor_geotiff/A 60416-2025 georefererad karta.tif", "A 60416-2025")</f>
        <v/>
      </c>
      <c r="AA10">
        <f>HYPERLINK("https://klasma.github.io/Logging_0127/klagomål/A 60416-2025 FSC-klagomål.docx", "A 60416-2025")</f>
        <v/>
      </c>
      <c r="AB10">
        <f>HYPERLINK("https://klasma.github.io/Logging_0127/klagomålsmail/A 60416-2025 FSC-klagomål mail.docx", "A 60416-2025")</f>
        <v/>
      </c>
      <c r="AC10">
        <f>HYPERLINK("https://klasma.github.io/Logging_0127/tillsyn/A 60416-2025 tillsynsbegäran.docx", "A 60416-2025")</f>
        <v/>
      </c>
      <c r="AD10">
        <f>HYPERLINK("https://klasma.github.io/Logging_0127/tillsynsmail/A 60416-2025 tillsynsbegäran mail.docx", "A 60416-2025")</f>
        <v/>
      </c>
      <c r="AE10">
        <f>HYPERLINK("https://klasma.github.io/Logging_0127/fåglar/A 60416-2025 prioriterade fågelarter.docx", "A 60416-2025")</f>
        <v/>
      </c>
    </row>
    <row r="11" ht="15" customHeight="1">
      <c r="A11" t="inlineStr">
        <is>
          <t>A 33801-2025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46258</v>
      </c>
      <c r="F11" t="inlineStr">
        <is>
          <t>STOCKHOLMS LÄN</t>
        </is>
      </c>
      <c r="G11" t="inlineStr">
        <is>
          <t>BOTKYRKA</t>
        </is>
      </c>
      <c r="I11" t="n">
        <v>1.3</v>
      </c>
      <c r="J11" t="n">
        <v>0</v>
      </c>
      <c r="K11" t="n">
        <v>5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Parkhättemossa
Fällmossa
Guldlockmossa
Stenporella
Strutbräken
Trubbfjädermossa</t>
        </is>
      </c>
      <c r="W11">
        <f>HYPERLINK("https://klasma.github.io/Logging_0127/artfynd/A 33801-2025 artfynd.xlsx", "A 33801-2025")</f>
        <v/>
      </c>
      <c r="X11">
        <f>HYPERLINK("https://klasma.github.io/Logging_0127/kartor/A 33801-2025 karta.png", "A 33801-2025")</f>
        <v/>
      </c>
      <c r="Y11">
        <f>HYPERLINK("https://klasma.github.io/Logging_0127/kartor_geotiff/A 33801-2025 georefererad karta.tif", "A 33801-2025")</f>
        <v/>
      </c>
      <c r="AA11">
        <f>HYPERLINK("https://klasma.github.io/Logging_0127/klagomål/A 33801-2025 FSC-klagomål.docx", "A 33801-2025")</f>
        <v/>
      </c>
      <c r="AB11">
        <f>HYPERLINK("https://klasma.github.io/Logging_0127/klagomålsmail/A 33801-2025 FSC-klagomål mail.docx", "A 33801-2025")</f>
        <v/>
      </c>
      <c r="AC11">
        <f>HYPERLINK("https://klasma.github.io/Logging_0127/tillsyn/A 33801-2025 tillsynsbegäran.docx", "A 33801-2025")</f>
        <v/>
      </c>
      <c r="AD11">
        <f>HYPERLINK("https://klasma.github.io/Logging_0127/tillsynsmail/A 33801-2025 tillsynsbegäran mail.docx", "A 33801-2025")</f>
        <v/>
      </c>
    </row>
    <row r="12" ht="15" customHeight="1">
      <c r="A12" t="inlineStr">
        <is>
          <t>A 43900-2021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46258</v>
      </c>
      <c r="F12" t="inlineStr">
        <is>
          <t>STOCKHOLMS LÄN</t>
        </is>
      </c>
      <c r="G12" t="inlineStr">
        <is>
          <t>BOTKYRKA</t>
        </is>
      </c>
      <c r="H12" t="inlineStr">
        <is>
          <t>Kommuner</t>
        </is>
      </c>
      <c r="I12" t="n">
        <v>3.1</v>
      </c>
      <c r="J12" t="n">
        <v>0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Fjällig taggsvamp s.str.
Motaggsvamp
Tallticka
Ullticka
Brandticka</t>
        </is>
      </c>
      <c r="W12">
        <f>HYPERLINK("https://klasma.github.io/Logging_0127/artfynd/A 43900-2021 artfynd.xlsx", "A 43900-2021")</f>
        <v/>
      </c>
      <c r="X12">
        <f>HYPERLINK("https://klasma.github.io/Logging_0127/kartor/A 43900-2021 karta.png", "A 43900-2021")</f>
        <v/>
      </c>
      <c r="Y12">
        <f>HYPERLINK("https://klasma.github.io/Logging_0127/kartor_geotiff/A 43900-2021 georefererad karta.tif", "A 43900-2021")</f>
        <v/>
      </c>
      <c r="AA12">
        <f>HYPERLINK("https://klasma.github.io/Logging_0127/klagomål/A 43900-2021 FSC-klagomål.docx", "A 43900-2021")</f>
        <v/>
      </c>
      <c r="AB12">
        <f>HYPERLINK("https://klasma.github.io/Logging_0127/klagomålsmail/A 43900-2021 FSC-klagomål mail.docx", "A 43900-2021")</f>
        <v/>
      </c>
      <c r="AC12">
        <f>HYPERLINK("https://klasma.github.io/Logging_0127/tillsyn/A 43900-2021 tillsynsbegäran.docx", "A 43900-2021")</f>
        <v/>
      </c>
      <c r="AD12">
        <f>HYPERLINK("https://klasma.github.io/Logging_0127/tillsynsmail/A 43900-2021 tillsynsbegäran mail.docx", "A 43900-2021")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46258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46258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46258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46258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46258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46258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46258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46258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46258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46258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46258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46258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46258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46258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46258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46258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45481</v>
      </c>
      <c r="E29" s="1" t="n">
        <v>46258</v>
      </c>
      <c r="F29" t="inlineStr">
        <is>
          <t>STOCKHOLMS LÄN</t>
        </is>
      </c>
      <c r="G29" t="inlineStr">
        <is>
          <t>BOTKYRKA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Tibast</t>
        </is>
      </c>
      <c r="W29">
        <f>HYPERLINK("https://klasma.github.io/Logging_0127/artfynd/A 28983-2024 artfynd.xlsx", "A 28983-2024")</f>
        <v/>
      </c>
      <c r="X29">
        <f>HYPERLINK("https://klasma.github.io/Logging_0127/kartor/A 28983-2024 karta.png", "A 28983-2024")</f>
        <v/>
      </c>
      <c r="Y29">
        <f>HYPERLINK("https://klasma.github.io/Logging_0127/kartor_geotiff/A 28983-2024 georefererad karta.tif", "A 28983-2024")</f>
        <v/>
      </c>
      <c r="AA29">
        <f>HYPERLINK("https://klasma.github.io/Logging_0127/klagomål/A 28983-2024 FSC-klagomål.docx", "A 28983-2024")</f>
        <v/>
      </c>
      <c r="AB29">
        <f>HYPERLINK("https://klasma.github.io/Logging_0127/klagomålsmail/A 28983-2024 FSC-klagomål mail.docx", "A 28983-2024")</f>
        <v/>
      </c>
      <c r="AC29">
        <f>HYPERLINK("https://klasma.github.io/Logging_0127/tillsyn/A 28983-2024 tillsynsbegäran.docx", "A 28983-2024")</f>
        <v/>
      </c>
      <c r="AD29">
        <f>HYPERLINK("https://klasma.github.io/Logging_0127/tillsynsmail/A 28983-2024 tillsynsbegäran mail.docx", "A 28983-2024")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46258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46258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46258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46258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46258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46258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46258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46258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46258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46258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46258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46258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20649-2022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44700</v>
      </c>
      <c r="E42" s="1" t="n">
        <v>46258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14202-2025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45740</v>
      </c>
      <c r="E43" s="1" t="n">
        <v>46258</v>
      </c>
      <c r="F43" t="inlineStr">
        <is>
          <t>STOCKHOLMS LÄN</t>
        </is>
      </c>
      <c r="G43" t="inlineStr">
        <is>
          <t>BOTKYRKA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8528-2024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45355</v>
      </c>
      <c r="E44" s="1" t="n">
        <v>46258</v>
      </c>
      <c r="F44" t="inlineStr">
        <is>
          <t>STOCKHOLMS LÄN</t>
        </is>
      </c>
      <c r="G44" t="inlineStr">
        <is>
          <t>BOTKYRKA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21285-2023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45062</v>
      </c>
      <c r="E45" s="1" t="n">
        <v>46258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45869-2022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44844</v>
      </c>
      <c r="E46" s="1" t="n">
        <v>46258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46258</v>
      </c>
      <c r="F47" t="inlineStr">
        <is>
          <t>STOCKHOLMS LÄN</t>
        </is>
      </c>
      <c r="G47" t="inlineStr">
        <is>
          <t>BOTKYRKA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46258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45020</v>
      </c>
      <c r="E49" s="1" t="n">
        <v>46258</v>
      </c>
      <c r="F49" t="inlineStr">
        <is>
          <t>STOCKHOLMS LÄN</t>
        </is>
      </c>
      <c r="G49" t="inlineStr">
        <is>
          <t>BOTKYRKA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44550</v>
      </c>
      <c r="E50" s="1" t="n">
        <v>46258</v>
      </c>
      <c r="F50" t="inlineStr">
        <is>
          <t>STOCKHOLMS LÄN</t>
        </is>
      </c>
      <c r="G50" t="inlineStr">
        <is>
          <t>BOTKYRKA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45740</v>
      </c>
      <c r="E51" s="1" t="n">
        <v>46258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46258</v>
      </c>
      <c r="F52" t="inlineStr">
        <is>
          <t>STOCKHOLMS LÄN</t>
        </is>
      </c>
      <c r="G52" t="inlineStr">
        <is>
          <t>BOTKYRKA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73194-2021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46258</v>
      </c>
      <c r="F53" t="inlineStr">
        <is>
          <t>STOCKHOLMS LÄN</t>
        </is>
      </c>
      <c r="G53" t="inlineStr">
        <is>
          <t>BOTKYRKA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46258</v>
      </c>
      <c r="F54" t="inlineStr">
        <is>
          <t>STOCKHOLMS LÄN</t>
        </is>
      </c>
      <c r="G54" t="inlineStr">
        <is>
          <t>BOTKYRKA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46258</v>
      </c>
      <c r="F55" t="inlineStr">
        <is>
          <t>STOCKHOLMS LÄN</t>
        </is>
      </c>
      <c r="G55" t="inlineStr">
        <is>
          <t>BOTKYRKA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16483-2023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46258</v>
      </c>
      <c r="F56" t="inlineStr">
        <is>
          <t>STOCKHOLMS LÄN</t>
        </is>
      </c>
      <c r="G56" t="inlineStr">
        <is>
          <t>BOTKYRKA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46258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46258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46258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46258</v>
      </c>
      <c r="F60" t="inlineStr">
        <is>
          <t>STOCKHOLMS LÄN</t>
        </is>
      </c>
      <c r="G60" t="inlineStr">
        <is>
          <t>BOTKYRKA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23716-2026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46258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23718-2026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46258</v>
      </c>
      <c r="F62" t="inlineStr">
        <is>
          <t>STOCKHOLMS LÄN</t>
        </is>
      </c>
      <c r="G62" t="inlineStr">
        <is>
          <t>BOTKYRKA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46258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46258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46258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46258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27717-2026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46190</v>
      </c>
      <c r="E67" s="1" t="n">
        <v>46258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46258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46258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46258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22391-2026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46154</v>
      </c>
      <c r="E71" s="1" t="n">
        <v>46258</v>
      </c>
      <c r="F71" t="inlineStr">
        <is>
          <t>STOCKHOLMS LÄN</t>
        </is>
      </c>
      <c r="G71" t="inlineStr">
        <is>
          <t>BOTKYRKA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46258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46258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46258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2026-08-24T01:48:05Z</dcterms:created>
  <dcterms:modified xmlns:dcterms="http://purl.org/dc/terms/" xmlns:xsi="http://www.w3.org/2001/XMLSchema-instance" xsi:type="dcterms:W3CDTF">2026-08-24T01:48:05Z</dcterms:modified>
</cp:coreProperties>
</file>