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46114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46114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46114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46114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46114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46114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46114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46114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46114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46114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46114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46114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46114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46114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46114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46114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46114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46114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12305-2026</t>
        </is>
      </c>
      <c r="B20" s="1" t="n">
        <v>46087.57827546296</v>
      </c>
      <c r="C20" s="1" t="n">
        <v>46114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HYPERLINK("https://klasma.github.io/Logging_0127/artfynd/A 12305-2026 artfynd.xlsx", "A 12305-2026")</f>
        <v/>
      </c>
      <c r="T20">
        <f>HYPERLINK("https://klasma.github.io/Logging_0127/kartor/A 12305-2026 karta.png", "A 12305-2026")</f>
        <v/>
      </c>
      <c r="V20">
        <f>HYPERLINK("https://klasma.github.io/Logging_0127/klagomål/A 12305-2026 FSC-klagomål.docx", "A 12305-2026")</f>
        <v/>
      </c>
      <c r="W20">
        <f>HYPERLINK("https://klasma.github.io/Logging_0127/klagomålsmail/A 12305-2026 FSC-klagomål mail.docx", "A 12305-2026")</f>
        <v/>
      </c>
      <c r="X20">
        <f>HYPERLINK("https://klasma.github.io/Logging_0127/tillsyn/A 12305-2026 tillsynsbegäran.docx", "A 12305-2026")</f>
        <v/>
      </c>
      <c r="Y20">
        <f>HYPERLINK("https://klasma.github.io/Logging_0127/tillsynsmail/A 12305-2026 tillsynsbegäran mail.docx", "A 12305-2026")</f>
        <v/>
      </c>
      <c r="Z20">
        <f>HYPERLINK("https://klasma.github.io/Logging_0127/fåglar/A 12305-2026 prioriterade fågelarter.docx", "A 12305-2026")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46114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12842-2026</t>
        </is>
      </c>
      <c r="B22" s="1" t="n">
        <v>46092.44197916667</v>
      </c>
      <c r="C22" s="1" t="n">
        <v>46114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Fyrflikig jordstjärna</t>
        </is>
      </c>
      <c r="S22">
        <f>HYPERLINK("https://klasma.github.io/Logging_0127/artfynd/A 12842-2026 artfynd.xlsx", "A 12842-2026")</f>
        <v/>
      </c>
      <c r="T22">
        <f>HYPERLINK("https://klasma.github.io/Logging_0127/kartor/A 12842-2026 karta.png", "A 12842-2026")</f>
        <v/>
      </c>
      <c r="V22">
        <f>HYPERLINK("https://klasma.github.io/Logging_0127/klagomål/A 12842-2026 FSC-klagomål.docx", "A 12842-2026")</f>
        <v/>
      </c>
      <c r="W22">
        <f>HYPERLINK("https://klasma.github.io/Logging_0127/klagomålsmail/A 12842-2026 FSC-klagomål mail.docx", "A 12842-2026")</f>
        <v/>
      </c>
      <c r="X22">
        <f>HYPERLINK("https://klasma.github.io/Logging_0127/tillsyn/A 12842-2026 tillsynsbegäran.docx", "A 12842-2026")</f>
        <v/>
      </c>
      <c r="Y22">
        <f>HYPERLINK("https://klasma.github.io/Logging_0127/tillsynsmail/A 12842-2026 tillsynsbegäran mail.docx", "A 12842-2026")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46114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46114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46114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46114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46114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46114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46114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46114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46114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46114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46114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46114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46114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46114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46114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46114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46114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46114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46114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46114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46114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61320-2024</t>
        </is>
      </c>
      <c r="B44" s="1" t="n">
        <v>45646.33262731481</v>
      </c>
      <c r="C44" s="1" t="n">
        <v>46114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73194-2021</t>
        </is>
      </c>
      <c r="B45" s="1" t="n">
        <v>44550.61508101852</v>
      </c>
      <c r="C45" s="1" t="n">
        <v>46114</v>
      </c>
      <c r="D45" t="inlineStr">
        <is>
          <t>STOCKHOLMS LÄN</t>
        </is>
      </c>
      <c r="E45" t="inlineStr">
        <is>
          <t>BOTKYRKA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15905-2022</t>
        </is>
      </c>
      <c r="B46" s="1" t="n">
        <v>44664</v>
      </c>
      <c r="C46" s="1" t="n">
        <v>46114</v>
      </c>
      <c r="D46" t="inlineStr">
        <is>
          <t>STOCKHOLMS LÄN</t>
        </is>
      </c>
      <c r="E46" t="inlineStr">
        <is>
          <t>BOTKYRKA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16483-2023</t>
        </is>
      </c>
      <c r="B47" s="1" t="n">
        <v>45029</v>
      </c>
      <c r="C47" s="1" t="n">
        <v>46114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46405-2022</t>
        </is>
      </c>
      <c r="B48" s="1" t="n">
        <v>44846</v>
      </c>
      <c r="C48" s="1" t="n">
        <v>46114</v>
      </c>
      <c r="D48" t="inlineStr">
        <is>
          <t>STOCKHOLMS LÄN</t>
        </is>
      </c>
      <c r="E48" t="inlineStr">
        <is>
          <t>BOTKYRKA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46114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8528-2024</t>
        </is>
      </c>
      <c r="B50" s="1" t="n">
        <v>45355.49099537037</v>
      </c>
      <c r="C50" s="1" t="n">
        <v>46114</v>
      </c>
      <c r="D50" t="inlineStr">
        <is>
          <t>STOCKHOLMS LÄN</t>
        </is>
      </c>
      <c r="E50" t="inlineStr">
        <is>
          <t>BOTKYRKA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45945-2025</t>
        </is>
      </c>
      <c r="B51" s="1" t="n">
        <v>45924</v>
      </c>
      <c r="C51" s="1" t="n">
        <v>46114</v>
      </c>
      <c r="D51" t="inlineStr">
        <is>
          <t>STOCKHOLMS LÄN</t>
        </is>
      </c>
      <c r="E51" t="inlineStr">
        <is>
          <t>BOTKYRKA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46114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44586.57239583333</v>
      </c>
      <c r="C53" s="1" t="n">
        <v>46114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46114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49175-2025</t>
        </is>
      </c>
      <c r="B55" s="1" t="n">
        <v>45938.3790162037</v>
      </c>
      <c r="C55" s="1" t="n">
        <v>46114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46114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46114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9032-2023</t>
        </is>
      </c>
      <c r="B58" s="1" t="n">
        <v>44979</v>
      </c>
      <c r="C58" s="1" t="n">
        <v>46114</v>
      </c>
      <c r="D58" t="inlineStr">
        <is>
          <t>STOCKHOLMS LÄN</t>
        </is>
      </c>
      <c r="E58" t="inlineStr">
        <is>
          <t>BOTKYRKA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54468-2025</t>
        </is>
      </c>
      <c r="B59" s="1" t="n">
        <v>45965</v>
      </c>
      <c r="C59" s="1" t="n">
        <v>46114</v>
      </c>
      <c r="D59" t="inlineStr">
        <is>
          <t>STOCKHOLMS LÄN</t>
        </is>
      </c>
      <c r="E59" t="inlineStr">
        <is>
          <t>BOTKYRKA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46114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44859.43993055556</v>
      </c>
      <c r="C61" s="1" t="n">
        <v>46114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46114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45376.45421296296</v>
      </c>
      <c r="C63" s="1" t="n">
        <v>46114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16149-2024</t>
        </is>
      </c>
      <c r="B64" s="1" t="n">
        <v>45406.56984953704</v>
      </c>
      <c r="C64" s="1" t="n">
        <v>46114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28983-2024</t>
        </is>
      </c>
      <c r="B65" s="1" t="n">
        <v>45481.47731481482</v>
      </c>
      <c r="C65" s="1" t="n">
        <v>46114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61225-2022</t>
        </is>
      </c>
      <c r="B66" s="1" t="n">
        <v>44915</v>
      </c>
      <c r="C66" s="1" t="n">
        <v>46114</v>
      </c>
      <c r="D66" t="inlineStr">
        <is>
          <t>STOCKHOLMS LÄN</t>
        </is>
      </c>
      <c r="E66" t="inlineStr">
        <is>
          <t>BOTKYRKA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46114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12294-2026</t>
        </is>
      </c>
      <c r="B68" s="1" t="n">
        <v>46087.55737268519</v>
      </c>
      <c r="C68" s="1" t="n">
        <v>46114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12306-2026</t>
        </is>
      </c>
      <c r="B69" s="1" t="n">
        <v>46087.57949074074</v>
      </c>
      <c r="C69" s="1" t="n">
        <v>46114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46114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30622-2024</t>
        </is>
      </c>
      <c r="B71" s="1" t="n">
        <v>45495</v>
      </c>
      <c r="C71" s="1" t="n">
        <v>46114</v>
      </c>
      <c r="D71" t="inlineStr">
        <is>
          <t>STOCKHOLMS LÄN</t>
        </is>
      </c>
      <c r="E71" t="inlineStr">
        <is>
          <t>BOTKYRKA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36097-2021</t>
        </is>
      </c>
      <c r="B72" s="1" t="n">
        <v>44389</v>
      </c>
      <c r="C72" s="1" t="n">
        <v>46114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16145-2024</t>
        </is>
      </c>
      <c r="B73" s="1" t="n">
        <v>45406.56561342593</v>
      </c>
      <c r="C73" s="1" t="n">
        <v>46114</v>
      </c>
      <c r="D73" t="inlineStr">
        <is>
          <t>STOCKHOLMS LÄN</t>
        </is>
      </c>
      <c r="E73" t="inlineStr">
        <is>
          <t>BOTKYRKA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61514-2022</t>
        </is>
      </c>
      <c r="B74" s="1" t="n">
        <v>44916</v>
      </c>
      <c r="C74" s="1" t="n">
        <v>46114</v>
      </c>
      <c r="D74" t="inlineStr">
        <is>
          <t>STOCKHOLMS LÄN</t>
        </is>
      </c>
      <c r="E74" t="inlineStr">
        <is>
          <t>BOTKYRKA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45678.57962962963</v>
      </c>
      <c r="C75" s="1" t="n">
        <v>46114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46114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46114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46114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45376.47072916666</v>
      </c>
      <c r="C79" s="1" t="n">
        <v>46114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2026-04-02T10:41:56Z</dcterms:created>
  <dcterms:modified xmlns:dcterms="http://purl.org/dc/terms/" xmlns:xsi="http://www.w3.org/2001/XMLSchema-instance" xsi:type="dcterms:W3CDTF">2026-04-02T10:41:57Z</dcterms:modified>
</cp:coreProperties>
</file>