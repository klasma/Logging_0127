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45724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45724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45724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45724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45724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45724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45724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45724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45724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45724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45724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45724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45724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5953-2020</t>
        </is>
      </c>
      <c r="B15" s="1" t="n">
        <v>43864</v>
      </c>
      <c r="C15" s="1" t="n">
        <v>45724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HYPERLINK("https://klasma.github.io/Logging_0127/artfynd/A 5953-2020 artfynd.xlsx", "A 5953-2020")</f>
        <v/>
      </c>
      <c r="T15">
        <f>HYPERLINK("https://klasma.github.io/Logging_0127/kartor/A 5953-2020 karta.png", "A 5953-2020")</f>
        <v/>
      </c>
      <c r="V15">
        <f>HYPERLINK("https://klasma.github.io/Logging_0127/klagomål/A 5953-2020 FSC-klagomål.docx", "A 5953-2020")</f>
        <v/>
      </c>
      <c r="W15">
        <f>HYPERLINK("https://klasma.github.io/Logging_0127/klagomålsmail/A 5953-2020 FSC-klagomål mail.docx", "A 5953-2020")</f>
        <v/>
      </c>
      <c r="X15">
        <f>HYPERLINK("https://klasma.github.io/Logging_0127/tillsyn/A 5953-2020 tillsynsbegäran.docx", "A 5953-2020")</f>
        <v/>
      </c>
      <c r="Y15">
        <f>HYPERLINK("https://klasma.github.io/Logging_0127/tillsynsmail/A 5953-2020 tillsynsbegäran mail.docx", "A 5953-2020")</f>
        <v/>
      </c>
      <c r="Z15">
        <f>HYPERLINK("https://klasma.github.io/Logging_0127/fåglar/A 5953-2020 prioriterade fågelarter.docx", "A 5953-2020")</f>
        <v/>
      </c>
    </row>
    <row r="16" ht="15" customHeight="1">
      <c r="A16" t="inlineStr">
        <is>
          <t>A 16236-2020</t>
        </is>
      </c>
      <c r="B16" s="1" t="n">
        <v>43917</v>
      </c>
      <c r="C16" s="1" t="n">
        <v>45724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Granbarkgnagare</t>
        </is>
      </c>
      <c r="S16">
        <f>HYPERLINK("https://klasma.github.io/Logging_0127/artfynd/A 16236-2020 artfynd.xlsx", "A 16236-2020")</f>
        <v/>
      </c>
      <c r="T16">
        <f>HYPERLINK("https://klasma.github.io/Logging_0127/kartor/A 16236-2020 karta.png", "A 16236-2020")</f>
        <v/>
      </c>
      <c r="V16">
        <f>HYPERLINK("https://klasma.github.io/Logging_0127/klagomål/A 16236-2020 FSC-klagomål.docx", "A 16236-2020")</f>
        <v/>
      </c>
      <c r="W16">
        <f>HYPERLINK("https://klasma.github.io/Logging_0127/klagomålsmail/A 16236-2020 FSC-klagomål mail.docx", "A 16236-2020")</f>
        <v/>
      </c>
      <c r="X16">
        <f>HYPERLINK("https://klasma.github.io/Logging_0127/tillsyn/A 16236-2020 tillsynsbegäran.docx", "A 16236-2020")</f>
        <v/>
      </c>
      <c r="Y16">
        <f>HYPERLINK("https://klasma.github.io/Logging_0127/tillsynsmail/A 16236-2020 tillsynsbegäran mail.docx", "A 16236-2020")</f>
        <v/>
      </c>
    </row>
    <row r="17" ht="15" customHeight="1">
      <c r="A17" t="inlineStr">
        <is>
          <t>A 34971-2020</t>
        </is>
      </c>
      <c r="B17" s="1" t="n">
        <v>44039</v>
      </c>
      <c r="C17" s="1" t="n">
        <v>45724</v>
      </c>
      <c r="D17" t="inlineStr">
        <is>
          <t>STOCKHOLMS LÄN</t>
        </is>
      </c>
      <c r="E17" t="inlineStr">
        <is>
          <t>BOTKYRKA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34971-2020 artfynd.xlsx", "A 34971-2020")</f>
        <v/>
      </c>
      <c r="T17">
        <f>HYPERLINK("https://klasma.github.io/Logging_0127/kartor/A 34971-2020 karta.png", "A 34971-2020")</f>
        <v/>
      </c>
      <c r="V17">
        <f>HYPERLINK("https://klasma.github.io/Logging_0127/klagomål/A 34971-2020 FSC-klagomål.docx", "A 34971-2020")</f>
        <v/>
      </c>
      <c r="W17">
        <f>HYPERLINK("https://klasma.github.io/Logging_0127/klagomålsmail/A 34971-2020 FSC-klagomål mail.docx", "A 34971-2020")</f>
        <v/>
      </c>
      <c r="X17">
        <f>HYPERLINK("https://klasma.github.io/Logging_0127/tillsyn/A 34971-2020 tillsynsbegäran.docx", "A 34971-2020")</f>
        <v/>
      </c>
      <c r="Y17">
        <f>HYPERLINK("https://klasma.github.io/Logging_0127/tillsynsmail/A 34971-2020 tillsynsbegäran mail.docx", "A 34971-2020")</f>
        <v/>
      </c>
    </row>
    <row r="18" ht="15" customHeight="1">
      <c r="A18" t="inlineStr">
        <is>
          <t>A 10469-2022</t>
        </is>
      </c>
      <c r="B18" s="1" t="n">
        <v>44623</v>
      </c>
      <c r="C18" s="1" t="n">
        <v>45724</v>
      </c>
      <c r="D18" t="inlineStr">
        <is>
          <t>STOCKHOLMS LÄN</t>
        </is>
      </c>
      <c r="E18" t="inlineStr">
        <is>
          <t>BOTKYRKA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10469-2022 artfynd.xlsx", "A 10469-2022")</f>
        <v/>
      </c>
      <c r="T18">
        <f>HYPERLINK("https://klasma.github.io/Logging_0127/kartor/A 10469-2022 karta.png", "A 10469-2022")</f>
        <v/>
      </c>
      <c r="V18">
        <f>HYPERLINK("https://klasma.github.io/Logging_0127/klagomål/A 10469-2022 FSC-klagomål.docx", "A 10469-2022")</f>
        <v/>
      </c>
      <c r="W18">
        <f>HYPERLINK("https://klasma.github.io/Logging_0127/klagomålsmail/A 10469-2022 FSC-klagomål mail.docx", "A 10469-2022")</f>
        <v/>
      </c>
      <c r="X18">
        <f>HYPERLINK("https://klasma.github.io/Logging_0127/tillsyn/A 10469-2022 tillsynsbegäran.docx", "A 10469-2022")</f>
        <v/>
      </c>
      <c r="Y18">
        <f>HYPERLINK("https://klasma.github.io/Logging_0127/tillsynsmail/A 10469-2022 tillsynsbegäran mail.docx", "A 10469-2022")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45724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1691-2023</t>
        </is>
      </c>
      <c r="B20" s="1" t="n">
        <v>44938</v>
      </c>
      <c r="C20" s="1" t="n">
        <v>45724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1691-2023 artfynd.xlsx", "A 1691-2023")</f>
        <v/>
      </c>
      <c r="T20">
        <f>HYPERLINK("https://klasma.github.io/Logging_0127/kartor/A 1691-2023 karta.png", "A 1691-2023")</f>
        <v/>
      </c>
      <c r="V20">
        <f>HYPERLINK("https://klasma.github.io/Logging_0127/klagomål/A 1691-2023 FSC-klagomål.docx", "A 1691-2023")</f>
        <v/>
      </c>
      <c r="W20">
        <f>HYPERLINK("https://klasma.github.io/Logging_0127/klagomålsmail/A 1691-2023 FSC-klagomål mail.docx", "A 1691-2023")</f>
        <v/>
      </c>
      <c r="X20">
        <f>HYPERLINK("https://klasma.github.io/Logging_0127/tillsyn/A 1691-2023 tillsynsbegäran.docx", "A 1691-2023")</f>
        <v/>
      </c>
      <c r="Y20">
        <f>HYPERLINK("https://klasma.github.io/Logging_0127/tillsynsmail/A 1691-2023 tillsynsbegäran mail.docx", "A 1691-2023")</f>
        <v/>
      </c>
    </row>
    <row r="21" ht="15" customHeight="1">
      <c r="A21" t="inlineStr">
        <is>
          <t>A 5574-2023</t>
        </is>
      </c>
      <c r="B21" s="1" t="n">
        <v>44960</v>
      </c>
      <c r="C21" s="1" t="n">
        <v>45724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5574-2023 artfynd.xlsx", "A 5574-2023")</f>
        <v/>
      </c>
      <c r="T21">
        <f>HYPERLINK("https://klasma.github.io/Logging_0127/kartor/A 5574-2023 karta.png", "A 5574-2023")</f>
        <v/>
      </c>
      <c r="V21">
        <f>HYPERLINK("https://klasma.github.io/Logging_0127/klagomål/A 5574-2023 FSC-klagomål.docx", "A 5574-2023")</f>
        <v/>
      </c>
      <c r="W21">
        <f>HYPERLINK("https://klasma.github.io/Logging_0127/klagomålsmail/A 5574-2023 FSC-klagomål mail.docx", "A 5574-2023")</f>
        <v/>
      </c>
      <c r="X21">
        <f>HYPERLINK("https://klasma.github.io/Logging_0127/tillsyn/A 5574-2023 tillsynsbegäran.docx", "A 5574-2023")</f>
        <v/>
      </c>
      <c r="Y21">
        <f>HYPERLINK("https://klasma.github.io/Logging_0127/tillsynsmail/A 5574-2023 tillsynsbegäran mail.docx", "A 5574-2023")</f>
        <v/>
      </c>
    </row>
    <row r="22" ht="15" customHeight="1">
      <c r="A22" t="inlineStr">
        <is>
          <t>A 23829-2023</t>
        </is>
      </c>
      <c r="B22" s="1" t="n">
        <v>45078</v>
      </c>
      <c r="C22" s="1" t="n">
        <v>45724</v>
      </c>
      <c r="D22" t="inlineStr">
        <is>
          <t>STOCKHOLMS LÄN</t>
        </is>
      </c>
      <c r="E22" t="inlineStr">
        <is>
          <t>BOTKYRKA</t>
        </is>
      </c>
      <c r="F22" t="inlineStr">
        <is>
          <t>Kommuner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HYPERLINK("https://klasma.github.io/Logging_0127/artfynd/A 23829-2023 artfynd.xlsx", "A 23829-2023")</f>
        <v/>
      </c>
      <c r="T22">
        <f>HYPERLINK("https://klasma.github.io/Logging_0127/kartor/A 23829-2023 karta.png", "A 23829-2023")</f>
        <v/>
      </c>
      <c r="V22">
        <f>HYPERLINK("https://klasma.github.io/Logging_0127/klagomål/A 23829-2023 FSC-klagomål.docx", "A 23829-2023")</f>
        <v/>
      </c>
      <c r="W22">
        <f>HYPERLINK("https://klasma.github.io/Logging_0127/klagomålsmail/A 23829-2023 FSC-klagomål mail.docx", "A 23829-2023")</f>
        <v/>
      </c>
      <c r="X22">
        <f>HYPERLINK("https://klasma.github.io/Logging_0127/tillsyn/A 23829-2023 tillsynsbegäran.docx", "A 23829-2023")</f>
        <v/>
      </c>
      <c r="Y22">
        <f>HYPERLINK("https://klasma.github.io/Logging_0127/tillsynsmail/A 23829-2023 tillsynsbegäran mail.docx", "A 23829-2023")</f>
        <v/>
      </c>
    </row>
    <row r="23" ht="15" customHeight="1">
      <c r="A23" t="inlineStr">
        <is>
          <t>A 40642-2019</t>
        </is>
      </c>
      <c r="B23" s="1" t="n">
        <v>43696</v>
      </c>
      <c r="C23" s="1" t="n">
        <v>45724</v>
      </c>
      <c r="D23" t="inlineStr">
        <is>
          <t>STOCKHOLMS LÄN</t>
        </is>
      </c>
      <c r="E23" t="inlineStr">
        <is>
          <t>BOTKYRKA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40641-2019</t>
        </is>
      </c>
      <c r="B24" s="1" t="n">
        <v>43696</v>
      </c>
      <c r="C24" s="1" t="n">
        <v>45724</v>
      </c>
      <c r="D24" t="inlineStr">
        <is>
          <t>STOCKHOLMS LÄN</t>
        </is>
      </c>
      <c r="E24" t="inlineStr">
        <is>
          <t>BOTKYRKA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42448-2019</t>
        </is>
      </c>
      <c r="B25" s="1" t="n">
        <v>43704</v>
      </c>
      <c r="C25" s="1" t="n">
        <v>45724</v>
      </c>
      <c r="D25" t="inlineStr">
        <is>
          <t>STOCKHOLMS LÄN</t>
        </is>
      </c>
      <c r="E25" t="inlineStr">
        <is>
          <t>BOTKYRKA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51387-2019</t>
        </is>
      </c>
      <c r="B26" s="1" t="n">
        <v>43740</v>
      </c>
      <c r="C26" s="1" t="n">
        <v>45724</v>
      </c>
      <c r="D26" t="inlineStr">
        <is>
          <t>STOCKHOLMS LÄN</t>
        </is>
      </c>
      <c r="E26" t="inlineStr">
        <is>
          <t>BOTKYRKA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2554-2020</t>
        </is>
      </c>
      <c r="B27" s="1" t="n">
        <v>43847</v>
      </c>
      <c r="C27" s="1" t="n">
        <v>45724</v>
      </c>
      <c r="D27" t="inlineStr">
        <is>
          <t>STOCKHOLMS LÄN</t>
        </is>
      </c>
      <c r="E27" t="inlineStr">
        <is>
          <t>BOTKYRKA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45724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45724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45724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45724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45724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45724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45724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45724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45724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45724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45724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45724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45724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45724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45724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45724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45724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45724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45724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45724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45724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45724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45724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45724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45724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45724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45724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45724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45724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45724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45724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45724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45724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45724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45724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45724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45724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45724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45724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45724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45724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45724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45724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45724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45724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45724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45724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45724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45724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45724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45724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45724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45724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45724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45724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45724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45724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45724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45724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45724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45724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45724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45724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45724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45724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45724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45724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45724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45724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45724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45724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45724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45724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45724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45724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45724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45724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45724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45724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45724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45724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45724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45724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45724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45724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45724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45724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45724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45724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45724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45724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45724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45724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45724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45724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45724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45724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45724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45724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45724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45724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45724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45724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45724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45724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45724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45724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45724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45724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45724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45724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45724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45724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45724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45724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5119-2025</t>
        </is>
      </c>
      <c r="B143" s="1" t="n">
        <v>45691</v>
      </c>
      <c r="C143" s="1" t="n">
        <v>45724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2025-03-08T18:01:27Z</dcterms:created>
  <dcterms:modified xmlns:dcterms="http://purl.org/dc/terms/" xmlns:xsi="http://www.w3.org/2001/XMLSchema-instance" xsi:type="dcterms:W3CDTF">2025-03-08T18:01:28Z</dcterms:modified>
</cp:coreProperties>
</file>