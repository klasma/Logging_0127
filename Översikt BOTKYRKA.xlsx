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45924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45924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45924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14220-2025</t>
        </is>
      </c>
      <c r="B7" s="1" t="n">
        <v>45740</v>
      </c>
      <c r="C7" s="1" t="n">
        <v>45924</v>
      </c>
      <c r="D7" t="inlineStr">
        <is>
          <t>STOCKHOLMS LÄN</t>
        </is>
      </c>
      <c r="E7" t="inlineStr">
        <is>
          <t>BOTKYRKA</t>
        </is>
      </c>
      <c r="G7" t="n">
        <v>3.3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Tibast</t>
        </is>
      </c>
      <c r="S7">
        <f>HYPERLINK("https://klasma.github.io/Logging_0127/artfynd/A 14220-2025 artfynd.xlsx", "A 14220-2025")</f>
        <v/>
      </c>
      <c r="T7">
        <f>HYPERLINK("https://klasma.github.io/Logging_0127/kartor/A 14220-2025 karta.png", "A 14220-2025")</f>
        <v/>
      </c>
      <c r="U7">
        <f>HYPERLINK("https://klasma.github.io/Logging_0127/knärot/A 14220-2025 karta knärot.png", "A 14220-2025")</f>
        <v/>
      </c>
      <c r="V7">
        <f>HYPERLINK("https://klasma.github.io/Logging_0127/klagomål/A 14220-2025 FSC-klagomål.docx", "A 14220-2025")</f>
        <v/>
      </c>
      <c r="W7">
        <f>HYPERLINK("https://klasma.github.io/Logging_0127/klagomålsmail/A 14220-2025 FSC-klagomål mail.docx", "A 14220-2025")</f>
        <v/>
      </c>
      <c r="X7">
        <f>HYPERLINK("https://klasma.github.io/Logging_0127/tillsyn/A 14220-2025 tillsynsbegäran.docx", "A 14220-2025")</f>
        <v/>
      </c>
      <c r="Y7">
        <f>HYPERLINK("https://klasma.github.io/Logging_0127/tillsynsmail/A 14220-2025 tillsynsbegäran mail.docx", "A 14220-2025")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45924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45924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45924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45924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45924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45924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45924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45924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45924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45924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45924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45924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45924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33015-2021</t>
        </is>
      </c>
      <c r="B21" s="1" t="n">
        <v>44376</v>
      </c>
      <c r="C21" s="1" t="n">
        <v>45924</v>
      </c>
      <c r="D21" t="inlineStr">
        <is>
          <t>STOCKHOLMS LÄN</t>
        </is>
      </c>
      <c r="E21" t="inlineStr">
        <is>
          <t>BOTKYRKA</t>
        </is>
      </c>
      <c r="G21" t="n">
        <v>48.7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33016-2021</t>
        </is>
      </c>
      <c r="B22" s="1" t="n">
        <v>44376</v>
      </c>
      <c r="C22" s="1" t="n">
        <v>45924</v>
      </c>
      <c r="D22" t="inlineStr">
        <is>
          <t>STOCKHOLMS LÄN</t>
        </is>
      </c>
      <c r="E22" t="inlineStr">
        <is>
          <t>BOTKYRKA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10817-2021</t>
        </is>
      </c>
      <c r="B23" s="1" t="n">
        <v>44259</v>
      </c>
      <c r="C23" s="1" t="n">
        <v>45924</v>
      </c>
      <c r="D23" t="inlineStr">
        <is>
          <t>STOCKHOLMS LÄN</t>
        </is>
      </c>
      <c r="E23" t="inlineStr">
        <is>
          <t>BOTKYRKA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52035-2021</t>
        </is>
      </c>
      <c r="B24" s="1" t="n">
        <v>44463</v>
      </c>
      <c r="C24" s="1" t="n">
        <v>45924</v>
      </c>
      <c r="D24" t="inlineStr">
        <is>
          <t>STOCKHOLMS LÄN</t>
        </is>
      </c>
      <c r="E24" t="inlineStr">
        <is>
          <t>BOTKYRKA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20210-2021</t>
        </is>
      </c>
      <c r="B25" s="1" t="n">
        <v>44314</v>
      </c>
      <c r="C25" s="1" t="n">
        <v>45924</v>
      </c>
      <c r="D25" t="inlineStr">
        <is>
          <t>STOCKHOLMS LÄN</t>
        </is>
      </c>
      <c r="E25" t="inlineStr">
        <is>
          <t>BOTKYRKA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73772-2021</t>
        </is>
      </c>
      <c r="B26" s="1" t="n">
        <v>44552</v>
      </c>
      <c r="C26" s="1" t="n">
        <v>45924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45924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48647-2022</t>
        </is>
      </c>
      <c r="B28" s="1" t="n">
        <v>44859</v>
      </c>
      <c r="C28" s="1" t="n">
        <v>45924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45924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45924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30925-2023</t>
        </is>
      </c>
      <c r="B31" s="1" t="n">
        <v>45113</v>
      </c>
      <c r="C31" s="1" t="n">
        <v>45924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73155-2021</t>
        </is>
      </c>
      <c r="B32" s="1" t="n">
        <v>44550</v>
      </c>
      <c r="C32" s="1" t="n">
        <v>45924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15690-2023</t>
        </is>
      </c>
      <c r="B33" s="1" t="n">
        <v>45020</v>
      </c>
      <c r="C33" s="1" t="n">
        <v>45924</v>
      </c>
      <c r="D33" t="inlineStr">
        <is>
          <t>STOCKHOLMS LÄN</t>
        </is>
      </c>
      <c r="E33" t="inlineStr">
        <is>
          <t>BOTKYRKA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45924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45924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45924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45924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45924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45924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45924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53979-2020</t>
        </is>
      </c>
      <c r="B41" s="1" t="n">
        <v>44125</v>
      </c>
      <c r="C41" s="1" t="n">
        <v>45924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48656-2022</t>
        </is>
      </c>
      <c r="B42" s="1" t="n">
        <v>44859.43993055556</v>
      </c>
      <c r="C42" s="1" t="n">
        <v>45924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45924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54002-2020</t>
        </is>
      </c>
      <c r="B44" s="1" t="n">
        <v>44125</v>
      </c>
      <c r="C44" s="1" t="n">
        <v>45924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11867-2024</t>
        </is>
      </c>
      <c r="B45" s="1" t="n">
        <v>45376.45421296296</v>
      </c>
      <c r="C45" s="1" t="n">
        <v>45924</v>
      </c>
      <c r="D45" t="inlineStr">
        <is>
          <t>STOCKHOLMS LÄN</t>
        </is>
      </c>
      <c r="E45" t="inlineStr">
        <is>
          <t>BOTKYRKA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16149-2024</t>
        </is>
      </c>
      <c r="B46" s="1" t="n">
        <v>45406.56984953704</v>
      </c>
      <c r="C46" s="1" t="n">
        <v>45924</v>
      </c>
      <c r="D46" t="inlineStr">
        <is>
          <t>STOCKHOLMS LÄN</t>
        </is>
      </c>
      <c r="E46" t="inlineStr">
        <is>
          <t>BOTKYRKA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45924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45924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45924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61225-2022</t>
        </is>
      </c>
      <c r="B50" s="1" t="n">
        <v>44915</v>
      </c>
      <c r="C50" s="1" t="n">
        <v>45924</v>
      </c>
      <c r="D50" t="inlineStr">
        <is>
          <t>STOCKHOLMS LÄN</t>
        </is>
      </c>
      <c r="E50" t="inlineStr">
        <is>
          <t>BOTKYRKA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55200-2020</t>
        </is>
      </c>
      <c r="B51" s="1" t="n">
        <v>44130</v>
      </c>
      <c r="C51" s="1" t="n">
        <v>45924</v>
      </c>
      <c r="D51" t="inlineStr">
        <is>
          <t>STOCKHOLMS LÄN</t>
        </is>
      </c>
      <c r="E51" t="inlineStr">
        <is>
          <t>BOTKYRKA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57809-2020</t>
        </is>
      </c>
      <c r="B52" s="1" t="n">
        <v>44141</v>
      </c>
      <c r="C52" s="1" t="n">
        <v>45924</v>
      </c>
      <c r="D52" t="inlineStr">
        <is>
          <t>STOCKHOLMS LÄN</t>
        </is>
      </c>
      <c r="E52" t="inlineStr">
        <is>
          <t>BOTKYRKA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25217-2024</t>
        </is>
      </c>
      <c r="B53" s="1" t="n">
        <v>45462</v>
      </c>
      <c r="C53" s="1" t="n">
        <v>45924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45595-2025</t>
        </is>
      </c>
      <c r="B54" s="1" t="n">
        <v>45922.68</v>
      </c>
      <c r="C54" s="1" t="n">
        <v>45924</v>
      </c>
      <c r="D54" t="inlineStr">
        <is>
          <t>STOCKHOLMS LÄN</t>
        </is>
      </c>
      <c r="E54" t="inlineStr">
        <is>
          <t>BOTKYRKA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46405-2022</t>
        </is>
      </c>
      <c r="B55" s="1" t="n">
        <v>44846</v>
      </c>
      <c r="C55" s="1" t="n">
        <v>45924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35197-2024</t>
        </is>
      </c>
      <c r="B56" s="1" t="n">
        <v>45530</v>
      </c>
      <c r="C56" s="1" t="n">
        <v>45924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45924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45924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45924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45924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45924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16145-2024</t>
        </is>
      </c>
      <c r="B62" s="1" t="n">
        <v>45406.56561342593</v>
      </c>
      <c r="C62" s="1" t="n">
        <v>45924</v>
      </c>
      <c r="D62" t="inlineStr">
        <is>
          <t>STOCKHOLMS LÄN</t>
        </is>
      </c>
      <c r="E62" t="inlineStr">
        <is>
          <t>BOTKYRKA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45924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15692-2023</t>
        </is>
      </c>
      <c r="B64" s="1" t="n">
        <v>45020</v>
      </c>
      <c r="C64" s="1" t="n">
        <v>45924</v>
      </c>
      <c r="D64" t="inlineStr">
        <is>
          <t>STOCKHOLMS LÄN</t>
        </is>
      </c>
      <c r="E64" t="inlineStr">
        <is>
          <t>BOTKYRKA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61514-2022</t>
        </is>
      </c>
      <c r="B65" s="1" t="n">
        <v>44916</v>
      </c>
      <c r="C65" s="1" t="n">
        <v>45924</v>
      </c>
      <c r="D65" t="inlineStr">
        <is>
          <t>STOCKHOLMS LÄN</t>
        </is>
      </c>
      <c r="E65" t="inlineStr">
        <is>
          <t>BOTKYRKA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45924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3021-2025</t>
        </is>
      </c>
      <c r="B67" s="1" t="n">
        <v>45678.57962962963</v>
      </c>
      <c r="C67" s="1" t="n">
        <v>45924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9032-2023</t>
        </is>
      </c>
      <c r="B68" s="1" t="n">
        <v>44979</v>
      </c>
      <c r="C68" s="1" t="n">
        <v>45924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177-2021</t>
        </is>
      </c>
      <c r="B69" s="1" t="n">
        <v>44200</v>
      </c>
      <c r="C69" s="1" t="n">
        <v>45924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45924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45924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45924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58517-2020</t>
        </is>
      </c>
      <c r="B73" s="1" t="n">
        <v>44145</v>
      </c>
      <c r="C73" s="1" t="n">
        <v>45924</v>
      </c>
      <c r="D73" t="inlineStr">
        <is>
          <t>STOCKHOLMS LÄN</t>
        </is>
      </c>
      <c r="E73" t="inlineStr">
        <is>
          <t>BOTKYRKA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45924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45924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2025-09-24T10:12:05Z</dcterms:created>
  <dcterms:modified xmlns:dcterms="http://purl.org/dc/terms/" xmlns:xsi="http://www.w3.org/2001/XMLSchema-instance" xsi:type="dcterms:W3CDTF">2025-09-24T10:12:05Z</dcterms:modified>
</cp:coreProperties>
</file>