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45931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45931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45931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45595-2025</t>
        </is>
      </c>
      <c r="B5" s="1" t="n">
        <v>45922.68</v>
      </c>
      <c r="C5" s="1" t="n">
        <v>45931</v>
      </c>
      <c r="D5" t="inlineStr">
        <is>
          <t>STOCKHOLMS LÄN</t>
        </is>
      </c>
      <c r="E5" t="inlineStr">
        <is>
          <t>BOTKYRKA</t>
        </is>
      </c>
      <c r="G5" t="n">
        <v>2.2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Gulsparv
Grönsiska
Kungsfågel</t>
        </is>
      </c>
      <c r="S5">
        <f>HYPERLINK("https://klasma.github.io/Logging_0127/artfynd/A 45595-2025 artfynd.xlsx", "A 45595-2025")</f>
        <v/>
      </c>
      <c r="T5">
        <f>HYPERLINK("https://klasma.github.io/Logging_0127/kartor/A 45595-2025 karta.png", "A 45595-2025")</f>
        <v/>
      </c>
      <c r="V5">
        <f>HYPERLINK("https://klasma.github.io/Logging_0127/klagomål/A 45595-2025 FSC-klagomål.docx", "A 45595-2025")</f>
        <v/>
      </c>
      <c r="W5">
        <f>HYPERLINK("https://klasma.github.io/Logging_0127/klagomålsmail/A 45595-2025 FSC-klagomål mail.docx", "A 45595-2025")</f>
        <v/>
      </c>
      <c r="X5">
        <f>HYPERLINK("https://klasma.github.io/Logging_0127/tillsyn/A 45595-2025 tillsynsbegäran.docx", "A 45595-2025")</f>
        <v/>
      </c>
      <c r="Y5">
        <f>HYPERLINK("https://klasma.github.io/Logging_0127/tillsynsmail/A 45595-2025 tillsynsbegäran mail.docx", "A 45595-2025")</f>
        <v/>
      </c>
      <c r="Z5">
        <f>HYPERLINK("https://klasma.github.io/Logging_0127/fåglar/A 45595-2025 prioriterade fågelarter.docx", "A 45595-2025")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45931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53981-2020</t>
        </is>
      </c>
      <c r="B7" s="1" t="n">
        <v>44125</v>
      </c>
      <c r="C7" s="1" t="n">
        <v>45931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6.3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Mindre vattensalamander
Vanlig groda
Vanlig padda</t>
        </is>
      </c>
      <c r="S7">
        <f>HYPERLINK("https://klasma.github.io/Logging_0127/artfynd/A 53981-2020 artfynd.xlsx", "A 53981-2020")</f>
        <v/>
      </c>
      <c r="T7">
        <f>HYPERLINK("https://klasma.github.io/Logging_0127/kartor/A 53981-2020 karta.png", "A 53981-2020")</f>
        <v/>
      </c>
      <c r="V7">
        <f>HYPERLINK("https://klasma.github.io/Logging_0127/klagomål/A 53981-2020 FSC-klagomål.docx", "A 53981-2020")</f>
        <v/>
      </c>
      <c r="W7">
        <f>HYPERLINK("https://klasma.github.io/Logging_0127/klagomålsmail/A 53981-2020 FSC-klagomål mail.docx", "A 53981-2020")</f>
        <v/>
      </c>
      <c r="X7">
        <f>HYPERLINK("https://klasma.github.io/Logging_0127/tillsyn/A 53981-2020 tillsynsbegäran.docx", "A 53981-2020")</f>
        <v/>
      </c>
      <c r="Y7">
        <f>HYPERLINK("https://klasma.github.io/Logging_0127/tillsynsmail/A 53981-2020 tillsynsbegäran mail.docx", "A 53981-2020")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45931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45931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45931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45931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45931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45931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45931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45931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45931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45931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45931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45931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45931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45931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20210-2021</t>
        </is>
      </c>
      <c r="B22" s="1" t="n">
        <v>44314</v>
      </c>
      <c r="C22" s="1" t="n">
        <v>45931</v>
      </c>
      <c r="D22" t="inlineStr">
        <is>
          <t>STOCKHOLMS LÄN</t>
        </is>
      </c>
      <c r="E22" t="inlineStr">
        <is>
          <t>BOTKYRKA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45931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35492-2021</t>
        </is>
      </c>
      <c r="B24" s="1" t="n">
        <v>44385</v>
      </c>
      <c r="C24" s="1" t="n">
        <v>45931</v>
      </c>
      <c r="D24" t="inlineStr">
        <is>
          <t>STOCKHOLMS LÄN</t>
        </is>
      </c>
      <c r="E24" t="inlineStr">
        <is>
          <t>BOTKYRKA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32828-2022</t>
        </is>
      </c>
      <c r="B25" s="1" t="n">
        <v>44784</v>
      </c>
      <c r="C25" s="1" t="n">
        <v>45931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48647-2022</t>
        </is>
      </c>
      <c r="B26" s="1" t="n">
        <v>44859</v>
      </c>
      <c r="C26" s="1" t="n">
        <v>45931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43717-2021</t>
        </is>
      </c>
      <c r="B27" s="1" t="n">
        <v>44433.62546296296</v>
      </c>
      <c r="C27" s="1" t="n">
        <v>45931</v>
      </c>
      <c r="D27" t="inlineStr">
        <is>
          <t>STOCKHOLMS LÄN</t>
        </is>
      </c>
      <c r="E27" t="inlineStr">
        <is>
          <t>BOTKYRKA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33015-2021</t>
        </is>
      </c>
      <c r="B28" s="1" t="n">
        <v>44376</v>
      </c>
      <c r="C28" s="1" t="n">
        <v>45931</v>
      </c>
      <c r="D28" t="inlineStr">
        <is>
          <t>STOCKHOLMS LÄN</t>
        </is>
      </c>
      <c r="E28" t="inlineStr">
        <is>
          <t>BOTKYRKA</t>
        </is>
      </c>
      <c r="G28" t="n">
        <v>48.7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33016-2021</t>
        </is>
      </c>
      <c r="B29" s="1" t="n">
        <v>44376</v>
      </c>
      <c r="C29" s="1" t="n">
        <v>45931</v>
      </c>
      <c r="D29" t="inlineStr">
        <is>
          <t>STOCKHOLMS LÄN</t>
        </is>
      </c>
      <c r="E29" t="inlineStr">
        <is>
          <t>BOTKYRKA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45931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45931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45931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30622-2024</t>
        </is>
      </c>
      <c r="B33" s="1" t="n">
        <v>45495</v>
      </c>
      <c r="C33" s="1" t="n">
        <v>45931</v>
      </c>
      <c r="D33" t="inlineStr">
        <is>
          <t>STOCKHOLMS LÄN</t>
        </is>
      </c>
      <c r="E33" t="inlineStr">
        <is>
          <t>BOTKYRKA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45931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45931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61320-2024</t>
        </is>
      </c>
      <c r="B36" s="1" t="n">
        <v>45646.33262731481</v>
      </c>
      <c r="C36" s="1" t="n">
        <v>45931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45931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30925-2023</t>
        </is>
      </c>
      <c r="B38" s="1" t="n">
        <v>45113</v>
      </c>
      <c r="C38" s="1" t="n">
        <v>45931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46405-2022</t>
        </is>
      </c>
      <c r="B39" s="1" t="n">
        <v>44846</v>
      </c>
      <c r="C39" s="1" t="n">
        <v>45931</v>
      </c>
      <c r="D39" t="inlineStr">
        <is>
          <t>STOCKHOLMS LÄN</t>
        </is>
      </c>
      <c r="E39" t="inlineStr">
        <is>
          <t>BOTKYRKA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45869-2022</t>
        </is>
      </c>
      <c r="B40" s="1" t="n">
        <v>44844</v>
      </c>
      <c r="C40" s="1" t="n">
        <v>45931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11867-2024</t>
        </is>
      </c>
      <c r="B41" s="1" t="n">
        <v>45376.45421296296</v>
      </c>
      <c r="C41" s="1" t="n">
        <v>45931</v>
      </c>
      <c r="D41" t="inlineStr">
        <is>
          <t>STOCKHOLMS LÄN</t>
        </is>
      </c>
      <c r="E41" t="inlineStr">
        <is>
          <t>BOTKYRKA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45931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45931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45931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73151-2021</t>
        </is>
      </c>
      <c r="B45" s="1" t="n">
        <v>44550.5162037037</v>
      </c>
      <c r="C45" s="1" t="n">
        <v>45931</v>
      </c>
      <c r="D45" t="inlineStr">
        <is>
          <t>STOCKHOLMS LÄN</t>
        </is>
      </c>
      <c r="E45" t="inlineStr">
        <is>
          <t>BOTKYRKA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73194-2021</t>
        </is>
      </c>
      <c r="B46" s="1" t="n">
        <v>44550.61508101852</v>
      </c>
      <c r="C46" s="1" t="n">
        <v>45931</v>
      </c>
      <c r="D46" t="inlineStr">
        <is>
          <t>STOCKHOLMS LÄN</t>
        </is>
      </c>
      <c r="E46" t="inlineStr">
        <is>
          <t>BOTKYRKA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54002-2020</t>
        </is>
      </c>
      <c r="B47" s="1" t="n">
        <v>44125</v>
      </c>
      <c r="C47" s="1" t="n">
        <v>45931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61242-2022</t>
        </is>
      </c>
      <c r="B48" s="1" t="n">
        <v>44915</v>
      </c>
      <c r="C48" s="1" t="n">
        <v>45931</v>
      </c>
      <c r="D48" t="inlineStr">
        <is>
          <t>STOCKHOLMS LÄN</t>
        </is>
      </c>
      <c r="E48" t="inlineStr">
        <is>
          <t>BOTKYRKA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28983-2024</t>
        </is>
      </c>
      <c r="B49" s="1" t="n">
        <v>45481.47731481482</v>
      </c>
      <c r="C49" s="1" t="n">
        <v>45931</v>
      </c>
      <c r="D49" t="inlineStr">
        <is>
          <t>STOCKHOLMS LÄN</t>
        </is>
      </c>
      <c r="E49" t="inlineStr">
        <is>
          <t>BOTKYRKA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11876-2024</t>
        </is>
      </c>
      <c r="B50" s="1" t="n">
        <v>45376.47072916666</v>
      </c>
      <c r="C50" s="1" t="n">
        <v>45931</v>
      </c>
      <c r="D50" t="inlineStr">
        <is>
          <t>STOCKHOLMS LÄN</t>
        </is>
      </c>
      <c r="E50" t="inlineStr">
        <is>
          <t>BOTKYRKA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73155-2021</t>
        </is>
      </c>
      <c r="B51" s="1" t="n">
        <v>44550</v>
      </c>
      <c r="C51" s="1" t="n">
        <v>45931</v>
      </c>
      <c r="D51" t="inlineStr">
        <is>
          <t>STOCKHOLMS LÄN</t>
        </is>
      </c>
      <c r="E51" t="inlineStr">
        <is>
          <t>BOTKYRKA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15690-2023</t>
        </is>
      </c>
      <c r="B52" s="1" t="n">
        <v>45020</v>
      </c>
      <c r="C52" s="1" t="n">
        <v>45931</v>
      </c>
      <c r="D52" t="inlineStr">
        <is>
          <t>STOCKHOLMS LÄN</t>
        </is>
      </c>
      <c r="E52" t="inlineStr">
        <is>
          <t>BOTKYRKA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16142-2024</t>
        </is>
      </c>
      <c r="B53" s="1" t="n">
        <v>45406</v>
      </c>
      <c r="C53" s="1" t="n">
        <v>45931</v>
      </c>
      <c r="D53" t="inlineStr">
        <is>
          <t>STOCKHOLMS LÄN</t>
        </is>
      </c>
      <c r="E53" t="inlineStr">
        <is>
          <t>BOTKYRKA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53979-2020</t>
        </is>
      </c>
      <c r="B54" s="1" t="n">
        <v>44125</v>
      </c>
      <c r="C54" s="1" t="n">
        <v>45931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30378-2024</t>
        </is>
      </c>
      <c r="B55" s="1" t="n">
        <v>45491</v>
      </c>
      <c r="C55" s="1" t="n">
        <v>45931</v>
      </c>
      <c r="D55" t="inlineStr">
        <is>
          <t>STOCKHOLMS LÄN</t>
        </is>
      </c>
      <c r="E55" t="inlineStr">
        <is>
          <t>BOTKYRKA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177-2021</t>
        </is>
      </c>
      <c r="B56" s="1" t="n">
        <v>44200</v>
      </c>
      <c r="C56" s="1" t="n">
        <v>45931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15905-2022</t>
        </is>
      </c>
      <c r="B57" s="1" t="n">
        <v>44664</v>
      </c>
      <c r="C57" s="1" t="n">
        <v>45931</v>
      </c>
      <c r="D57" t="inlineStr">
        <is>
          <t>STOCKHOLMS LÄN</t>
        </is>
      </c>
      <c r="E57" t="inlineStr">
        <is>
          <t>BOTKYRKA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61514-2022</t>
        </is>
      </c>
      <c r="B58" s="1" t="n">
        <v>44916</v>
      </c>
      <c r="C58" s="1" t="n">
        <v>45931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45931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10815-2021</t>
        </is>
      </c>
      <c r="B60" s="1" t="n">
        <v>44259</v>
      </c>
      <c r="C60" s="1" t="n">
        <v>45931</v>
      </c>
      <c r="D60" t="inlineStr">
        <is>
          <t>STOCKHOLMS LÄN</t>
        </is>
      </c>
      <c r="E60" t="inlineStr">
        <is>
          <t>BOTKYRKA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20649-2022</t>
        </is>
      </c>
      <c r="B61" s="1" t="n">
        <v>44700</v>
      </c>
      <c r="C61" s="1" t="n">
        <v>45931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14202-2025</t>
        </is>
      </c>
      <c r="B62" s="1" t="n">
        <v>45740.57461805556</v>
      </c>
      <c r="C62" s="1" t="n">
        <v>45931</v>
      </c>
      <c r="D62" t="inlineStr">
        <is>
          <t>STOCKHOLMS LÄN</t>
        </is>
      </c>
      <c r="E62" t="inlineStr">
        <is>
          <t>BOTKYRKA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45931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45931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8528-2024</t>
        </is>
      </c>
      <c r="B65" s="1" t="n">
        <v>45355.49099537037</v>
      </c>
      <c r="C65" s="1" t="n">
        <v>45931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44586.57239583333</v>
      </c>
      <c r="C66" s="1" t="n">
        <v>45931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35197-2024</t>
        </is>
      </c>
      <c r="B67" s="1" t="n">
        <v>45530</v>
      </c>
      <c r="C67" s="1" t="n">
        <v>45931</v>
      </c>
      <c r="D67" t="inlineStr">
        <is>
          <t>STOCKHOLMS LÄN</t>
        </is>
      </c>
      <c r="E67" t="inlineStr">
        <is>
          <t>BOTKYRKA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55200-2020</t>
        </is>
      </c>
      <c r="B68" s="1" t="n">
        <v>44130</v>
      </c>
      <c r="C68" s="1" t="n">
        <v>45931</v>
      </c>
      <c r="D68" t="inlineStr">
        <is>
          <t>STOCKHOLMS LÄN</t>
        </is>
      </c>
      <c r="E68" t="inlineStr">
        <is>
          <t>BOTKYRKA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45931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21285-2023</t>
        </is>
      </c>
      <c r="B70" s="1" t="n">
        <v>45062</v>
      </c>
      <c r="C70" s="1" t="n">
        <v>45931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58517-2020</t>
        </is>
      </c>
      <c r="B71" s="1" t="n">
        <v>44145</v>
      </c>
      <c r="C71" s="1" t="n">
        <v>45931</v>
      </c>
      <c r="D71" t="inlineStr">
        <is>
          <t>STOCKHOLMS LÄN</t>
        </is>
      </c>
      <c r="E71" t="inlineStr">
        <is>
          <t>BOTKYRKA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45931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3021-2025</t>
        </is>
      </c>
      <c r="B73" s="1" t="n">
        <v>45678.57962962963</v>
      </c>
      <c r="C73" s="1" t="n">
        <v>45931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45931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16483-2023</t>
        </is>
      </c>
      <c r="B75" s="1" t="n">
        <v>45029</v>
      </c>
      <c r="C75" s="1" t="n">
        <v>45931</v>
      </c>
      <c r="D75" t="inlineStr">
        <is>
          <t>STOCKHOLMS LÄN</t>
        </is>
      </c>
      <c r="E75" t="inlineStr">
        <is>
          <t>BOTKYRKA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45945-2025</t>
        </is>
      </c>
      <c r="B76" s="1" t="n">
        <v>45924</v>
      </c>
      <c r="C76" s="1" t="n">
        <v>45931</v>
      </c>
      <c r="D76" t="inlineStr">
        <is>
          <t>STOCKHOLMS LÄN</t>
        </is>
      </c>
      <c r="E76" t="inlineStr">
        <is>
          <t>BOTKYRKA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2025-10-01T12:51:23Z</dcterms:created>
  <dcterms:modified xmlns:dcterms="http://purl.org/dc/terms/" xmlns:xsi="http://www.w3.org/2001/XMLSchema-instance" xsi:type="dcterms:W3CDTF">2025-10-01T12:51:23Z</dcterms:modified>
</cp:coreProperties>
</file>