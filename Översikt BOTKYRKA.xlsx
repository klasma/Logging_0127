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46204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3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14</v>
      </c>
      <c r="R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  <c r="Z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46204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10</v>
      </c>
      <c r="R3" s="2" t="inlineStr">
        <is>
          <t>Mindre bastardsvärmare
Sexfläckig bastardsvärmare
Almsnabbvinge
Mindre tåtelsmygare
Igelkottsröksvamp
Mandelriska
Sotriska
Mattlummer
Vanlig groda
Vanlig padda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46204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Brunlångöra
Dropptaggsvamp
Gulsparv
Motaggsvamp
Nordfladdermus
Spillkråka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s="1" t="n">
        <v>46154</v>
      </c>
      <c r="C5" s="1" t="n">
        <v>46204</v>
      </c>
      <c r="D5" t="inlineStr">
        <is>
          <t>STOCKHOLMS LÄN</t>
        </is>
      </c>
      <c r="E5" t="inlineStr">
        <is>
          <t>BOTKYRKA</t>
        </is>
      </c>
      <c r="G5" t="n">
        <v>6.9</v>
      </c>
      <c r="H5" t="n">
        <v>9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Duvhök
Järnsparv
Rödvingetrast
Sparvuggla
Spillkråka
Fjällvråk
Gröngöling
Kungsfågel
Svartvit flugsnappare</t>
        </is>
      </c>
      <c r="S5">
        <f>HYPERLINK("https://klasma.github.io/Logging_0127/artfynd/A 22390-2026 artfynd.xlsx", "A 22390-2026")</f>
        <v/>
      </c>
      <c r="T5">
        <f>HYPERLINK("https://klasma.github.io/Logging_0127/kartor/A 22390-2026 karta.png", "A 22390-2026")</f>
        <v/>
      </c>
      <c r="V5">
        <f>HYPERLINK("https://klasma.github.io/Logging_0127/klagomål/A 22390-2026 FSC-klagomål.docx", "A 22390-2026")</f>
        <v/>
      </c>
      <c r="W5">
        <f>HYPERLINK("https://klasma.github.io/Logging_0127/klagomålsmail/A 22390-2026 FSC-klagomål mail.docx", "A 22390-2026")</f>
        <v/>
      </c>
      <c r="X5">
        <f>HYPERLINK("https://klasma.github.io/Logging_0127/tillsyn/A 22390-2026 tillsynsbegäran.docx", "A 22390-2026")</f>
        <v/>
      </c>
      <c r="Y5">
        <f>HYPERLINK("https://klasma.github.io/Logging_0127/tillsynsmail/A 22390-2026 tillsynsbegäran mail.docx", "A 22390-2026")</f>
        <v/>
      </c>
      <c r="Z5">
        <f>HYPERLINK("https://klasma.github.io/Logging_0127/fåglar/A 22390-2026 prioriterade fågelarter.docx", "A 22390-2026")</f>
        <v/>
      </c>
    </row>
    <row r="6" ht="15" customHeight="1">
      <c r="A6" t="inlineStr">
        <is>
          <t>A 12818-2026</t>
        </is>
      </c>
      <c r="B6" s="1" t="n">
        <v>46092</v>
      </c>
      <c r="C6" s="1" t="n">
        <v>46204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0.9</v>
      </c>
      <c r="H6" t="n">
        <v>3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Motaggsvamp
Vintertagging
Blomkålssvamp
Blåmossa
Grovticka
Nattskärra
Tofsmes
Kungsfågel</t>
        </is>
      </c>
      <c r="S6">
        <f>HYPERLINK("https://klasma.github.io/Logging_0127/artfynd/A 12818-2026 artfynd.xlsx", "A 12818-2026")</f>
        <v/>
      </c>
      <c r="T6">
        <f>HYPERLINK("https://klasma.github.io/Logging_0127/kartor/A 12818-2026 karta.png", "A 12818-2026")</f>
        <v/>
      </c>
      <c r="V6">
        <f>HYPERLINK("https://klasma.github.io/Logging_0127/klagomål/A 12818-2026 FSC-klagomål.docx", "A 12818-2026")</f>
        <v/>
      </c>
      <c r="W6">
        <f>HYPERLINK("https://klasma.github.io/Logging_0127/klagomålsmail/A 12818-2026 FSC-klagomål mail.docx", "A 12818-2026")</f>
        <v/>
      </c>
      <c r="X6">
        <f>HYPERLINK("https://klasma.github.io/Logging_0127/tillsyn/A 12818-2026 tillsynsbegäran.docx", "A 12818-2026")</f>
        <v/>
      </c>
      <c r="Y6">
        <f>HYPERLINK("https://klasma.github.io/Logging_0127/tillsynsmail/A 12818-2026 tillsynsbegäran mail.docx", "A 12818-2026")</f>
        <v/>
      </c>
      <c r="Z6">
        <f>HYPERLINK("https://klasma.github.io/Logging_0127/fåglar/A 12818-2026 prioriterade fågelarter.docx", "A 12818-2026")</f>
        <v/>
      </c>
    </row>
    <row r="7" ht="15" customHeight="1">
      <c r="A7" t="inlineStr">
        <is>
          <t>A 48514-2025</t>
        </is>
      </c>
      <c r="B7" s="1" t="n">
        <v>45936</v>
      </c>
      <c r="C7" s="1" t="n">
        <v>46204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17.1</v>
      </c>
      <c r="H7" t="n">
        <v>1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8</v>
      </c>
      <c r="R7" s="2" t="inlineStr">
        <is>
          <t>Igelkott
Lammticka
Motaggsvamp
Skarp dropptaggsvamp
Svartvit taggsvamp
Tallticka
Talltita
Mindre märgborre</t>
        </is>
      </c>
      <c r="S7">
        <f>HYPERLINK("https://klasma.github.io/Logging_0127/artfynd/A 48514-2025 artfynd.xlsx", "A 48514-2025")</f>
        <v/>
      </c>
      <c r="T7">
        <f>HYPERLINK("https://klasma.github.io/Logging_0127/kartor/A 48514-2025 karta.png", "A 48514-2025")</f>
        <v/>
      </c>
      <c r="V7">
        <f>HYPERLINK("https://klasma.github.io/Logging_0127/klagomål/A 48514-2025 FSC-klagomål.docx", "A 48514-2025")</f>
        <v/>
      </c>
      <c r="W7">
        <f>HYPERLINK("https://klasma.github.io/Logging_0127/klagomålsmail/A 48514-2025 FSC-klagomål mail.docx", "A 48514-2025")</f>
        <v/>
      </c>
      <c r="X7">
        <f>HYPERLINK("https://klasma.github.io/Logging_0127/tillsyn/A 48514-2025 tillsynsbegäran.docx", "A 48514-2025")</f>
        <v/>
      </c>
      <c r="Y7">
        <f>HYPERLINK("https://klasma.github.io/Logging_0127/tillsynsmail/A 48514-2025 tillsynsbegäran mail.docx", "A 48514-2025")</f>
        <v/>
      </c>
      <c r="Z7">
        <f>HYPERLINK("https://klasma.github.io/Logging_0127/fåglar/A 48514-2025 prioriterade fågelarter.docx", "A 48514-2025")</f>
        <v/>
      </c>
    </row>
    <row r="8" ht="15" customHeight="1">
      <c r="A8" t="inlineStr">
        <is>
          <t>A 60416-2025</t>
        </is>
      </c>
      <c r="B8" s="1" t="n">
        <v>45995</v>
      </c>
      <c r="C8" s="1" t="n">
        <v>46204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1.9</v>
      </c>
      <c r="H8" t="n">
        <v>5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Entita
Mindre hackspett
Tallticka
Talltita
Mindre märgborre
Spillkråka
Gröngöling</t>
        </is>
      </c>
      <c r="S8">
        <f>HYPERLINK("https://klasma.github.io/Logging_0127/artfynd/A 60416-2025 artfynd.xlsx", "A 60416-2025")</f>
        <v/>
      </c>
      <c r="T8">
        <f>HYPERLINK("https://klasma.github.io/Logging_0127/kartor/A 60416-2025 karta.png", "A 60416-2025")</f>
        <v/>
      </c>
      <c r="V8">
        <f>HYPERLINK("https://klasma.github.io/Logging_0127/klagomål/A 60416-2025 FSC-klagomål.docx", "A 60416-2025")</f>
        <v/>
      </c>
      <c r="W8">
        <f>HYPERLINK("https://klasma.github.io/Logging_0127/klagomålsmail/A 60416-2025 FSC-klagomål mail.docx", "A 60416-2025")</f>
        <v/>
      </c>
      <c r="X8">
        <f>HYPERLINK("https://klasma.github.io/Logging_0127/tillsyn/A 60416-2025 tillsynsbegäran.docx", "A 60416-2025")</f>
        <v/>
      </c>
      <c r="Y8">
        <f>HYPERLINK("https://klasma.github.io/Logging_0127/tillsynsmail/A 60416-2025 tillsynsbegäran mail.docx", "A 60416-2025")</f>
        <v/>
      </c>
      <c r="Z8">
        <f>HYPERLINK("https://klasma.github.io/Logging_0127/fåglar/A 60416-2025 prioriterade fågelarter.docx", "A 60416-2025")</f>
        <v/>
      </c>
    </row>
    <row r="9" ht="15" customHeight="1">
      <c r="A9" t="inlineStr">
        <is>
          <t>A 33801-2025</t>
        </is>
      </c>
      <c r="B9" s="1" t="n">
        <v>45842</v>
      </c>
      <c r="C9" s="1" t="n">
        <v>46204</v>
      </c>
      <c r="D9" t="inlineStr">
        <is>
          <t>STOCKHOLMS LÄN</t>
        </is>
      </c>
      <c r="E9" t="inlineStr">
        <is>
          <t>BOTKYRKA</t>
        </is>
      </c>
      <c r="G9" t="n">
        <v>1.3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Parkhättemossa
Fällmossa
Guldlockmossa
Stenporella
Strutbräken
Trubbfjädermossa</t>
        </is>
      </c>
      <c r="S9">
        <f>HYPERLINK("https://klasma.github.io/Logging_0127/artfynd/A 33801-2025 artfynd.xlsx", "A 33801-2025")</f>
        <v/>
      </c>
      <c r="T9">
        <f>HYPERLINK("https://klasma.github.io/Logging_0127/kartor/A 33801-2025 karta.png", "A 33801-2025")</f>
        <v/>
      </c>
      <c r="V9">
        <f>HYPERLINK("https://klasma.github.io/Logging_0127/klagomål/A 33801-2025 FSC-klagomål.docx", "A 33801-2025")</f>
        <v/>
      </c>
      <c r="W9">
        <f>HYPERLINK("https://klasma.github.io/Logging_0127/klagomålsmail/A 33801-2025 FSC-klagomål mail.docx", "A 33801-2025")</f>
        <v/>
      </c>
      <c r="X9">
        <f>HYPERLINK("https://klasma.github.io/Logging_0127/tillsyn/A 33801-2025 tillsynsbegäran.docx", "A 33801-2025")</f>
        <v/>
      </c>
      <c r="Y9">
        <f>HYPERLINK("https://klasma.github.io/Logging_0127/tillsynsmail/A 33801-2025 tillsynsbegäran mail.docx", "A 33801-2025")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46204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Fjällig taggsvamp s.str.
Motaggsvamp
Tallticka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25306-2026</t>
        </is>
      </c>
      <c r="B11" s="1" t="n">
        <v>46176</v>
      </c>
      <c r="C11" s="1" t="n">
        <v>46204</v>
      </c>
      <c r="D11" t="inlineStr">
        <is>
          <t>STOCKHOLMS LÄN</t>
        </is>
      </c>
      <c r="E11" t="inlineStr">
        <is>
          <t>BOTKYRKA</t>
        </is>
      </c>
      <c r="G11" t="n">
        <v>3.2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Gulsparv
Tallticka
Blåmossa
Spillkråka
Gröngöling</t>
        </is>
      </c>
      <c r="S11">
        <f>HYPERLINK("https://klasma.github.io/Logging_0127/artfynd/A 25306-2026 artfynd.xlsx", "A 25306-2026")</f>
        <v/>
      </c>
      <c r="T11">
        <f>HYPERLINK("https://klasma.github.io/Logging_0127/kartor/A 25306-2026 karta.png", "A 25306-2026")</f>
        <v/>
      </c>
      <c r="V11">
        <f>HYPERLINK("https://klasma.github.io/Logging_0127/klagomål/A 25306-2026 FSC-klagomål.docx", "A 25306-2026")</f>
        <v/>
      </c>
      <c r="W11">
        <f>HYPERLINK("https://klasma.github.io/Logging_0127/klagomålsmail/A 25306-2026 FSC-klagomål mail.docx", "A 25306-2026")</f>
        <v/>
      </c>
      <c r="X11">
        <f>HYPERLINK("https://klasma.github.io/Logging_0127/tillsyn/A 25306-2026 tillsynsbegäran.docx", "A 25306-2026")</f>
        <v/>
      </c>
      <c r="Y11">
        <f>HYPERLINK("https://klasma.github.io/Logging_0127/tillsynsmail/A 25306-2026 tillsynsbegäran mail.docx", "A 25306-2026")</f>
        <v/>
      </c>
      <c r="Z11">
        <f>HYPERLINK("https://klasma.github.io/Logging_0127/fåglar/A 25306-2026 prioriterade fågelarter.docx", "A 25306-2026")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46204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Tallticka
Tibast
Blåsippa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46204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Bårdlav
Grön sköldmossa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46204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Fjällig taggsvamp s.str.
Tallticka
Fläcknycklar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15905-2022</t>
        </is>
      </c>
      <c r="B15" s="1" t="n">
        <v>44664</v>
      </c>
      <c r="C15" s="1" t="n">
        <v>46204</v>
      </c>
      <c r="D15" t="inlineStr">
        <is>
          <t>STOCKHOLMS LÄN</t>
        </is>
      </c>
      <c r="E15" t="inlineStr">
        <is>
          <t>BOTKYRKA</t>
        </is>
      </c>
      <c r="G15" t="n">
        <v>11.2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Svartvit taggsvamp</t>
        </is>
      </c>
      <c r="S15">
        <f>HYPERLINK("https://klasma.github.io/Logging_0127/artfynd/A 15905-2022 artfynd.xlsx", "A 15905-2022")</f>
        <v/>
      </c>
      <c r="T15">
        <f>HYPERLINK("https://klasma.github.io/Logging_0127/kartor/A 15905-2022 karta.png", "A 15905-2022")</f>
        <v/>
      </c>
      <c r="V15">
        <f>HYPERLINK("https://klasma.github.io/Logging_0127/klagomål/A 15905-2022 FSC-klagomål.docx", "A 15905-2022")</f>
        <v/>
      </c>
      <c r="W15">
        <f>HYPERLINK("https://klasma.github.io/Logging_0127/klagomålsmail/A 15905-2022 FSC-klagomål mail.docx", "A 15905-2022")</f>
        <v/>
      </c>
      <c r="X15">
        <f>HYPERLINK("https://klasma.github.io/Logging_0127/tillsyn/A 15905-2022 tillsynsbegäran.docx", "A 15905-2022")</f>
        <v/>
      </c>
      <c r="Y15">
        <f>HYPERLINK("https://klasma.github.io/Logging_0127/tillsynsmail/A 15905-2022 tillsynsbegäran mail.docx", "A 15905-2022")</f>
        <v/>
      </c>
    </row>
    <row r="16" ht="15" customHeight="1">
      <c r="A16" t="inlineStr">
        <is>
          <t>A 50474-2025</t>
        </is>
      </c>
      <c r="B16" s="1" t="n">
        <v>45945</v>
      </c>
      <c r="C16" s="1" t="n">
        <v>46204</v>
      </c>
      <c r="D16" t="inlineStr">
        <is>
          <t>STOCKHOLMS LÄN</t>
        </is>
      </c>
      <c r="E16" t="inlineStr">
        <is>
          <t>BOTKYRKA</t>
        </is>
      </c>
      <c r="F16" t="inlineStr">
        <is>
          <t>Övriga Aktiebolag</t>
        </is>
      </c>
      <c r="G16" t="n">
        <v>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Dropptaggsvamp
Revlummer</t>
        </is>
      </c>
      <c r="S16">
        <f>HYPERLINK("https://klasma.github.io/Logging_0127/artfynd/A 50474-2025 artfynd.xlsx", "A 50474-2025")</f>
        <v/>
      </c>
      <c r="T16">
        <f>HYPERLINK("https://klasma.github.io/Logging_0127/kartor/A 50474-2025 karta.png", "A 50474-2025")</f>
        <v/>
      </c>
      <c r="V16">
        <f>HYPERLINK("https://klasma.github.io/Logging_0127/klagomål/A 50474-2025 FSC-klagomål.docx", "A 50474-2025")</f>
        <v/>
      </c>
      <c r="W16">
        <f>HYPERLINK("https://klasma.github.io/Logging_0127/klagomålsmail/A 50474-2025 FSC-klagomål mail.docx", "A 50474-2025")</f>
        <v/>
      </c>
      <c r="X16">
        <f>HYPERLINK("https://klasma.github.io/Logging_0127/tillsyn/A 50474-2025 tillsynsbegäran.docx", "A 50474-2025")</f>
        <v/>
      </c>
      <c r="Y16">
        <f>HYPERLINK("https://klasma.github.io/Logging_0127/tillsynsmail/A 50474-2025 tillsynsbegäran mail.docx", "A 50474-2025")</f>
        <v/>
      </c>
    </row>
    <row r="17" ht="15" customHeight="1">
      <c r="A17" t="inlineStr">
        <is>
          <t>A 60406-2025</t>
        </is>
      </c>
      <c r="B17" s="1" t="n">
        <v>45995</v>
      </c>
      <c r="C17" s="1" t="n">
        <v>46204</v>
      </c>
      <c r="D17" t="inlineStr">
        <is>
          <t>STOCKHOLMS LÄN</t>
        </is>
      </c>
      <c r="E17" t="inlineStr">
        <is>
          <t>BOTKYRKA</t>
        </is>
      </c>
      <c r="F17" t="inlineStr">
        <is>
          <t>Övriga Aktiebolag</t>
        </is>
      </c>
      <c r="G17" t="n">
        <v>2.3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Mindre märgborre</t>
        </is>
      </c>
      <c r="S17">
        <f>HYPERLINK("https://klasma.github.io/Logging_0127/artfynd/A 60406-2025 artfynd.xlsx", "A 60406-2025")</f>
        <v/>
      </c>
      <c r="T17">
        <f>HYPERLINK("https://klasma.github.io/Logging_0127/kartor/A 60406-2025 karta.png", "A 60406-2025")</f>
        <v/>
      </c>
      <c r="V17">
        <f>HYPERLINK("https://klasma.github.io/Logging_0127/klagomål/A 60406-2025 FSC-klagomål.docx", "A 60406-2025")</f>
        <v/>
      </c>
      <c r="W17">
        <f>HYPERLINK("https://klasma.github.io/Logging_0127/klagomålsmail/A 60406-2025 FSC-klagomål mail.docx", "A 60406-2025")</f>
        <v/>
      </c>
      <c r="X17">
        <f>HYPERLINK("https://klasma.github.io/Logging_0127/tillsyn/A 60406-2025 tillsynsbegäran.docx", "A 60406-2025")</f>
        <v/>
      </c>
      <c r="Y17">
        <f>HYPERLINK("https://klasma.github.io/Logging_0127/tillsynsmail/A 60406-2025 tillsynsbegäran mail.docx", "A 60406-2025")</f>
        <v/>
      </c>
    </row>
    <row r="18" ht="15" customHeight="1">
      <c r="A18" t="inlineStr">
        <is>
          <t>A 24799-2026</t>
        </is>
      </c>
      <c r="B18" s="1" t="n">
        <v>46171</v>
      </c>
      <c r="C18" s="1" t="n">
        <v>46204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Mindre märgborre
Spillkråka</t>
        </is>
      </c>
      <c r="S18">
        <f>HYPERLINK("https://klasma.github.io/Logging_0127/artfynd/A 24799-2026 artfynd.xlsx", "A 24799-2026")</f>
        <v/>
      </c>
      <c r="T18">
        <f>HYPERLINK("https://klasma.github.io/Logging_0127/kartor/A 24799-2026 karta.png", "A 24799-2026")</f>
        <v/>
      </c>
      <c r="V18">
        <f>HYPERLINK("https://klasma.github.io/Logging_0127/klagomål/A 24799-2026 FSC-klagomål.docx", "A 24799-2026")</f>
        <v/>
      </c>
      <c r="W18">
        <f>HYPERLINK("https://klasma.github.io/Logging_0127/klagomålsmail/A 24799-2026 FSC-klagomål mail.docx", "A 24799-2026")</f>
        <v/>
      </c>
      <c r="X18">
        <f>HYPERLINK("https://klasma.github.io/Logging_0127/tillsyn/A 24799-2026 tillsynsbegäran.docx", "A 24799-2026")</f>
        <v/>
      </c>
      <c r="Y18">
        <f>HYPERLINK("https://klasma.github.io/Logging_0127/tillsynsmail/A 24799-2026 tillsynsbegäran mail.docx", "A 24799-2026")</f>
        <v/>
      </c>
      <c r="Z18">
        <f>HYPERLINK("https://klasma.github.io/Logging_0127/fåglar/A 24799-2026 prioriterade fågelarter.docx", "A 24799-2026")</f>
        <v/>
      </c>
    </row>
    <row r="19" ht="15" customHeight="1">
      <c r="A19" t="inlineStr">
        <is>
          <t>A 25315-2026</t>
        </is>
      </c>
      <c r="B19" s="1" t="n">
        <v>46176</v>
      </c>
      <c r="C19" s="1" t="n">
        <v>46204</v>
      </c>
      <c r="D19" t="inlineStr">
        <is>
          <t>STOCKHOLMS LÄN</t>
        </is>
      </c>
      <c r="E19" t="inlineStr">
        <is>
          <t>BOTKYRKA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Spillkråka
Tofsmes</t>
        </is>
      </c>
      <c r="S19">
        <f>HYPERLINK("https://klasma.github.io/Logging_0127/artfynd/A 25315-2026 artfynd.xlsx", "A 25315-2026")</f>
        <v/>
      </c>
      <c r="T19">
        <f>HYPERLINK("https://klasma.github.io/Logging_0127/kartor/A 25315-2026 karta.png", "A 25315-2026")</f>
        <v/>
      </c>
      <c r="V19">
        <f>HYPERLINK("https://klasma.github.io/Logging_0127/klagomål/A 25315-2026 FSC-klagomål.docx", "A 25315-2026")</f>
        <v/>
      </c>
      <c r="W19">
        <f>HYPERLINK("https://klasma.github.io/Logging_0127/klagomålsmail/A 25315-2026 FSC-klagomål mail.docx", "A 25315-2026")</f>
        <v/>
      </c>
      <c r="X19">
        <f>HYPERLINK("https://klasma.github.io/Logging_0127/tillsyn/A 25315-2026 tillsynsbegäran.docx", "A 25315-2026")</f>
        <v/>
      </c>
      <c r="Y19">
        <f>HYPERLINK("https://klasma.github.io/Logging_0127/tillsynsmail/A 25315-2026 tillsynsbegäran mail.docx", "A 25315-2026")</f>
        <v/>
      </c>
      <c r="Z19">
        <f>HYPERLINK("https://klasma.github.io/Logging_0127/fåglar/A 25315-2026 prioriterade fågelarter.docx", "A 25315-2026")</f>
        <v/>
      </c>
    </row>
    <row r="20" ht="15" customHeight="1">
      <c r="A20" t="inlineStr">
        <is>
          <t>A 25319-2026</t>
        </is>
      </c>
      <c r="B20" s="1" t="n">
        <v>46176</v>
      </c>
      <c r="C20" s="1" t="n">
        <v>46204</v>
      </c>
      <c r="D20" t="inlineStr">
        <is>
          <t>STOCKHOLMS LÄN</t>
        </is>
      </c>
      <c r="E20" t="inlineStr">
        <is>
          <t>BOTKYRKA</t>
        </is>
      </c>
      <c r="G20" t="n">
        <v>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Spillkråka</t>
        </is>
      </c>
      <c r="S20">
        <f>HYPERLINK("https://klasma.github.io/Logging_0127/artfynd/A 25319-2026 artfynd.xlsx", "A 25319-2026")</f>
        <v/>
      </c>
      <c r="T20">
        <f>HYPERLINK("https://klasma.github.io/Logging_0127/kartor/A 25319-2026 karta.png", "A 25319-2026")</f>
        <v/>
      </c>
      <c r="V20">
        <f>HYPERLINK("https://klasma.github.io/Logging_0127/klagomål/A 25319-2026 FSC-klagomål.docx", "A 25319-2026")</f>
        <v/>
      </c>
      <c r="W20">
        <f>HYPERLINK("https://klasma.github.io/Logging_0127/klagomålsmail/A 25319-2026 FSC-klagomål mail.docx", "A 25319-2026")</f>
        <v/>
      </c>
      <c r="X20">
        <f>HYPERLINK("https://klasma.github.io/Logging_0127/tillsyn/A 25319-2026 tillsynsbegäran.docx", "A 25319-2026")</f>
        <v/>
      </c>
      <c r="Y20">
        <f>HYPERLINK("https://klasma.github.io/Logging_0127/tillsynsmail/A 25319-2026 tillsynsbegäran mail.docx", "A 25319-2026")</f>
        <v/>
      </c>
      <c r="Z20">
        <f>HYPERLINK("https://klasma.github.io/Logging_0127/fåglar/A 25319-2026 prioriterade fågelarter.docx", "A 25319-2026")</f>
        <v/>
      </c>
    </row>
    <row r="21" ht="15" customHeight="1">
      <c r="A21" t="inlineStr">
        <is>
          <t>A 18100-2022</t>
        </is>
      </c>
      <c r="B21" s="1" t="n">
        <v>44684</v>
      </c>
      <c r="C21" s="1" t="n">
        <v>46204</v>
      </c>
      <c r="D21" t="inlineStr">
        <is>
          <t>STOCKHOLMS LÄN</t>
        </is>
      </c>
      <c r="E21" t="inlineStr">
        <is>
          <t>BOTKYRKA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Gullviva</t>
        </is>
      </c>
      <c r="S21">
        <f>HYPERLINK("https://klasma.github.io/Logging_0127/artfynd/A 18100-2022 artfynd.xlsx", "A 18100-2022")</f>
        <v/>
      </c>
      <c r="T21">
        <f>HYPERLINK("https://klasma.github.io/Logging_0127/kartor/A 18100-2022 karta.png", "A 18100-2022")</f>
        <v/>
      </c>
      <c r="V21">
        <f>HYPERLINK("https://klasma.github.io/Logging_0127/klagomål/A 18100-2022 FSC-klagomål.docx", "A 18100-2022")</f>
        <v/>
      </c>
      <c r="W21">
        <f>HYPERLINK("https://klasma.github.io/Logging_0127/klagomålsmail/A 18100-2022 FSC-klagomål mail.docx", "A 18100-2022")</f>
        <v/>
      </c>
      <c r="X21">
        <f>HYPERLINK("https://klasma.github.io/Logging_0127/tillsyn/A 18100-2022 tillsynsbegäran.docx", "A 18100-2022")</f>
        <v/>
      </c>
      <c r="Y21">
        <f>HYPERLINK("https://klasma.github.io/Logging_0127/tillsynsmail/A 18100-2022 tillsynsbegäran mail.docx", "A 18100-2022")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46204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35492-2021</t>
        </is>
      </c>
      <c r="B23" s="1" t="n">
        <v>44385</v>
      </c>
      <c r="C23" s="1" t="n">
        <v>46204</v>
      </c>
      <c r="D23" t="inlineStr">
        <is>
          <t>STOCKHOLMS LÄN</t>
        </is>
      </c>
      <c r="E23" t="inlineStr">
        <is>
          <t>BOTKYRKA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Nattskärra</t>
        </is>
      </c>
      <c r="S23">
        <f>HYPERLINK("https://klasma.github.io/Logging_0127/artfynd/A 35492-2021 artfynd.xlsx", "A 35492-2021")</f>
        <v/>
      </c>
      <c r="T23">
        <f>HYPERLINK("https://klasma.github.io/Logging_0127/kartor/A 35492-2021 karta.png", "A 35492-2021")</f>
        <v/>
      </c>
      <c r="V23">
        <f>HYPERLINK("https://klasma.github.io/Logging_0127/klagomål/A 35492-2021 FSC-klagomål.docx", "A 35492-2021")</f>
        <v/>
      </c>
      <c r="W23">
        <f>HYPERLINK("https://klasma.github.io/Logging_0127/klagomålsmail/A 35492-2021 FSC-klagomål mail.docx", "A 35492-2021")</f>
        <v/>
      </c>
      <c r="X23">
        <f>HYPERLINK("https://klasma.github.io/Logging_0127/tillsyn/A 35492-2021 tillsynsbegäran.docx", "A 35492-2021")</f>
        <v/>
      </c>
      <c r="Y23">
        <f>HYPERLINK("https://klasma.github.io/Logging_0127/tillsynsmail/A 35492-2021 tillsynsbegäran mail.docx", "A 35492-2021")</f>
        <v/>
      </c>
      <c r="Z23">
        <f>HYPERLINK("https://klasma.github.io/Logging_0127/fåglar/A 35492-2021 prioriterade fågelarter.docx", "A 35492-2021")</f>
        <v/>
      </c>
    </row>
    <row r="24" ht="15" customHeight="1">
      <c r="A24" t="inlineStr">
        <is>
          <t>A 15690-2023</t>
        </is>
      </c>
      <c r="B24" s="1" t="n">
        <v>45020</v>
      </c>
      <c r="C24" s="1" t="n">
        <v>46204</v>
      </c>
      <c r="D24" t="inlineStr">
        <is>
          <t>STOCKHOLMS LÄN</t>
        </is>
      </c>
      <c r="E24" t="inlineStr">
        <is>
          <t>BOTKYRKA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Gullpudra</t>
        </is>
      </c>
      <c r="S24">
        <f>HYPERLINK("https://klasma.github.io/Logging_0127/artfynd/A 15690-2023 artfynd.xlsx", "A 15690-2023")</f>
        <v/>
      </c>
      <c r="T24">
        <f>HYPERLINK("https://klasma.github.io/Logging_0127/kartor/A 15690-2023 karta.png", "A 15690-2023")</f>
        <v/>
      </c>
      <c r="V24">
        <f>HYPERLINK("https://klasma.github.io/Logging_0127/klagomål/A 15690-2023 FSC-klagomål.docx", "A 15690-2023")</f>
        <v/>
      </c>
      <c r="W24">
        <f>HYPERLINK("https://klasma.github.io/Logging_0127/klagomålsmail/A 15690-2023 FSC-klagomål mail.docx", "A 15690-2023")</f>
        <v/>
      </c>
      <c r="X24">
        <f>HYPERLINK("https://klasma.github.io/Logging_0127/tillsyn/A 15690-2023 tillsynsbegäran.docx", "A 15690-2023")</f>
        <v/>
      </c>
      <c r="Y24">
        <f>HYPERLINK("https://klasma.github.io/Logging_0127/tillsynsmail/A 15690-2023 tillsynsbegäran mail.docx", "A 15690-2023")</f>
        <v/>
      </c>
    </row>
    <row r="25" ht="15" customHeight="1">
      <c r="A25" t="inlineStr">
        <is>
          <t>A 30378-2024</t>
        </is>
      </c>
      <c r="B25" s="1" t="n">
        <v>45491</v>
      </c>
      <c r="C25" s="1" t="n">
        <v>46204</v>
      </c>
      <c r="D25" t="inlineStr">
        <is>
          <t>STOCKHOLMS LÄN</t>
        </is>
      </c>
      <c r="E25" t="inlineStr">
        <is>
          <t>BOTKYRKA</t>
        </is>
      </c>
      <c r="G25" t="n">
        <v>0.3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HYPERLINK("https://klasma.github.io/Logging_0127/artfynd/A 30378-2024 artfynd.xlsx", "A 30378-2024")</f>
        <v/>
      </c>
      <c r="T25">
        <f>HYPERLINK("https://klasma.github.io/Logging_0127/kartor/A 30378-2024 karta.png", "A 30378-2024")</f>
        <v/>
      </c>
      <c r="V25">
        <f>HYPERLINK("https://klasma.github.io/Logging_0127/klagomål/A 30378-2024 FSC-klagomål.docx", "A 30378-2024")</f>
        <v/>
      </c>
      <c r="W25">
        <f>HYPERLINK("https://klasma.github.io/Logging_0127/klagomålsmail/A 30378-2024 FSC-klagomål mail.docx", "A 30378-2024")</f>
        <v/>
      </c>
      <c r="X25">
        <f>HYPERLINK("https://klasma.github.io/Logging_0127/tillsyn/A 30378-2024 tillsynsbegäran.docx", "A 30378-2024")</f>
        <v/>
      </c>
      <c r="Y25">
        <f>HYPERLINK("https://klasma.github.io/Logging_0127/tillsynsmail/A 30378-2024 tillsynsbegäran mail.docx", "A 30378-2024")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46204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HYPERLINK("https://klasma.github.io/Logging_0127/artfynd/A 14214-2025 artfynd.xlsx", "A 14214-2025")</f>
        <v/>
      </c>
      <c r="T26">
        <f>HYPERLINK("https://klasma.github.io/Logging_0127/kartor/A 14214-2025 karta.png", "A 14214-2025")</f>
        <v/>
      </c>
      <c r="V26">
        <f>HYPERLINK("https://klasma.github.io/Logging_0127/klagomål/A 14214-2025 FSC-klagomål.docx", "A 14214-2025")</f>
        <v/>
      </c>
      <c r="W26">
        <f>HYPERLINK("https://klasma.github.io/Logging_0127/klagomålsmail/A 14214-2025 FSC-klagomål mail.docx", "A 14214-2025")</f>
        <v/>
      </c>
      <c r="X26">
        <f>HYPERLINK("https://klasma.github.io/Logging_0127/tillsyn/A 14214-2025 tillsynsbegäran.docx", "A 14214-2025")</f>
        <v/>
      </c>
      <c r="Y26">
        <f>HYPERLINK("https://klasma.github.io/Logging_0127/tillsynsmail/A 14214-2025 tillsynsbegäran mail.docx", "A 14214-2025")</f>
        <v/>
      </c>
      <c r="Z26">
        <f>HYPERLINK("https://klasma.github.io/Logging_0127/fåglar/A 14214-2025 prioriterade fågelarter.docx", "A 14214-2025")</f>
        <v/>
      </c>
    </row>
    <row r="27" ht="15" customHeight="1">
      <c r="A27" t="inlineStr">
        <is>
          <t>A 12305-2026</t>
        </is>
      </c>
      <c r="B27" s="1" t="n">
        <v>46087</v>
      </c>
      <c r="C27" s="1" t="n">
        <v>46204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HYPERLINK("https://klasma.github.io/Logging_0127/artfynd/A 12305-2026 artfynd.xlsx", "A 12305-2026")</f>
        <v/>
      </c>
      <c r="T27">
        <f>HYPERLINK("https://klasma.github.io/Logging_0127/kartor/A 12305-2026 karta.png", "A 12305-2026")</f>
        <v/>
      </c>
      <c r="V27">
        <f>HYPERLINK("https://klasma.github.io/Logging_0127/klagomål/A 12305-2026 FSC-klagomål.docx", "A 12305-2026")</f>
        <v/>
      </c>
      <c r="W27">
        <f>HYPERLINK("https://klasma.github.io/Logging_0127/klagomålsmail/A 12305-2026 FSC-klagomål mail.docx", "A 12305-2026")</f>
        <v/>
      </c>
      <c r="X27">
        <f>HYPERLINK("https://klasma.github.io/Logging_0127/tillsyn/A 12305-2026 tillsynsbegäran.docx", "A 12305-2026")</f>
        <v/>
      </c>
      <c r="Y27">
        <f>HYPERLINK("https://klasma.github.io/Logging_0127/tillsynsmail/A 12305-2026 tillsynsbegäran mail.docx", "A 12305-2026")</f>
        <v/>
      </c>
      <c r="Z27">
        <f>HYPERLINK("https://klasma.github.io/Logging_0127/fåglar/A 12305-2026 prioriterade fågelarter.docx", "A 12305-2026")</f>
        <v/>
      </c>
    </row>
    <row r="28" ht="15" customHeight="1">
      <c r="A28" t="inlineStr">
        <is>
          <t>A 12590-2026</t>
        </is>
      </c>
      <c r="B28" s="1" t="n">
        <v>46090</v>
      </c>
      <c r="C28" s="1" t="n">
        <v>46204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1.5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HYPERLINK("https://klasma.github.io/Logging_0127/artfynd/A 12590-2026 artfynd.xlsx", "A 12590-2026")</f>
        <v/>
      </c>
      <c r="T28">
        <f>HYPERLINK("https://klasma.github.io/Logging_0127/kartor/A 12590-2026 karta.png", "A 12590-2026")</f>
        <v/>
      </c>
      <c r="V28">
        <f>HYPERLINK("https://klasma.github.io/Logging_0127/klagomål/A 12590-2026 FSC-klagomål.docx", "A 12590-2026")</f>
        <v/>
      </c>
      <c r="W28">
        <f>HYPERLINK("https://klasma.github.io/Logging_0127/klagomålsmail/A 12590-2026 FSC-klagomål mail.docx", "A 12590-2026")</f>
        <v/>
      </c>
      <c r="X28">
        <f>HYPERLINK("https://klasma.github.io/Logging_0127/tillsyn/A 12590-2026 tillsynsbegäran.docx", "A 12590-2026")</f>
        <v/>
      </c>
      <c r="Y28">
        <f>HYPERLINK("https://klasma.github.io/Logging_0127/tillsynsmail/A 12590-2026 tillsynsbegäran mail.docx", "A 12590-2026")</f>
        <v/>
      </c>
      <c r="Z28">
        <f>HYPERLINK("https://klasma.github.io/Logging_0127/fåglar/A 12590-2026 prioriterade fågelarter.docx", "A 12590-2026")</f>
        <v/>
      </c>
    </row>
    <row r="29" ht="15" customHeight="1">
      <c r="A29" t="inlineStr">
        <is>
          <t>A 12842-2026</t>
        </is>
      </c>
      <c r="B29" s="1" t="n">
        <v>46092</v>
      </c>
      <c r="C29" s="1" t="n">
        <v>46204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HYPERLINK("https://klasma.github.io/Logging_0127/artfynd/A 12842-2026 artfynd.xlsx", "A 12842-2026")</f>
        <v/>
      </c>
      <c r="T29">
        <f>HYPERLINK("https://klasma.github.io/Logging_0127/kartor/A 12842-2026 karta.png", "A 12842-2026")</f>
        <v/>
      </c>
      <c r="V29">
        <f>HYPERLINK("https://klasma.github.io/Logging_0127/klagomål/A 12842-2026 FSC-klagomål.docx", "A 12842-2026")</f>
        <v/>
      </c>
      <c r="W29">
        <f>HYPERLINK("https://klasma.github.io/Logging_0127/klagomålsmail/A 12842-2026 FSC-klagomål mail.docx", "A 12842-2026")</f>
        <v/>
      </c>
      <c r="X29">
        <f>HYPERLINK("https://klasma.github.io/Logging_0127/tillsyn/A 12842-2026 tillsynsbegäran.docx", "A 12842-2026")</f>
        <v/>
      </c>
      <c r="Y29">
        <f>HYPERLINK("https://klasma.github.io/Logging_0127/tillsynsmail/A 12842-2026 tillsynsbegäran mail.docx", "A 12842-2026")</f>
        <v/>
      </c>
    </row>
    <row r="30" ht="15" customHeight="1">
      <c r="A30" t="inlineStr">
        <is>
          <t>A 3726-2022</t>
        </is>
      </c>
      <c r="B30" s="1" t="n">
        <v>44586</v>
      </c>
      <c r="C30" s="1" t="n">
        <v>46204</v>
      </c>
      <c r="D30" t="inlineStr">
        <is>
          <t>STOCKHOLMS LÄN</t>
        </is>
      </c>
      <c r="E30" t="inlineStr">
        <is>
          <t>BOTKYRKA</t>
        </is>
      </c>
      <c r="G30" t="n">
        <v>17.1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HYPERLINK("https://klasma.github.io/Logging_0127/artfynd/A 3726-2022 artfynd.xlsx", "A 3726-2022")</f>
        <v/>
      </c>
      <c r="T30">
        <f>HYPERLINK("https://klasma.github.io/Logging_0127/kartor/A 3726-2022 karta.png", "A 3726-2022")</f>
        <v/>
      </c>
      <c r="V30">
        <f>HYPERLINK("https://klasma.github.io/Logging_0127/klagomål/A 3726-2022 FSC-klagomål.docx", "A 3726-2022")</f>
        <v/>
      </c>
      <c r="W30">
        <f>HYPERLINK("https://klasma.github.io/Logging_0127/klagomålsmail/A 3726-2022 FSC-klagomål mail.docx", "A 3726-2022")</f>
        <v/>
      </c>
      <c r="X30">
        <f>HYPERLINK("https://klasma.github.io/Logging_0127/tillsyn/A 3726-2022 tillsynsbegäran.docx", "A 3726-2022")</f>
        <v/>
      </c>
      <c r="Y30">
        <f>HYPERLINK("https://klasma.github.io/Logging_0127/tillsynsmail/A 3726-2022 tillsynsbegäran mail.docx", "A 3726-2022")</f>
        <v/>
      </c>
    </row>
    <row r="31" ht="15" customHeight="1">
      <c r="A31" t="inlineStr">
        <is>
          <t>A 28983-2024</t>
        </is>
      </c>
      <c r="B31" s="1" t="n">
        <v>45481</v>
      </c>
      <c r="C31" s="1" t="n">
        <v>46204</v>
      </c>
      <c r="D31" t="inlineStr">
        <is>
          <t>STOCKHOLMS LÄN</t>
        </is>
      </c>
      <c r="E31" t="inlineStr">
        <is>
          <t>BOTKYRKA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HYPERLINK("https://klasma.github.io/Logging_0127/artfynd/A 28983-2024 artfynd.xlsx", "A 28983-2024")</f>
        <v/>
      </c>
      <c r="T31">
        <f>HYPERLINK("https://klasma.github.io/Logging_0127/kartor/A 28983-2024 karta.png", "A 28983-2024")</f>
        <v/>
      </c>
      <c r="V31">
        <f>HYPERLINK("https://klasma.github.io/Logging_0127/klagomål/A 28983-2024 FSC-klagomål.docx", "A 28983-2024")</f>
        <v/>
      </c>
      <c r="W31">
        <f>HYPERLINK("https://klasma.github.io/Logging_0127/klagomålsmail/A 28983-2024 FSC-klagomål mail.docx", "A 28983-2024")</f>
        <v/>
      </c>
      <c r="X31">
        <f>HYPERLINK("https://klasma.github.io/Logging_0127/tillsyn/A 28983-2024 tillsynsbegäran.docx", "A 28983-2024")</f>
        <v/>
      </c>
      <c r="Y31">
        <f>HYPERLINK("https://klasma.github.io/Logging_0127/tillsynsmail/A 28983-2024 tillsynsbegäran mail.docx", "A 28983-2024")</f>
        <v/>
      </c>
    </row>
    <row r="32" ht="15" customHeight="1">
      <c r="A32" t="inlineStr">
        <is>
          <t>A 1691-2023</t>
        </is>
      </c>
      <c r="B32" s="1" t="n">
        <v>44938</v>
      </c>
      <c r="C32" s="1" t="n">
        <v>46204</v>
      </c>
      <c r="D32" t="inlineStr">
        <is>
          <t>STOCKHOLMS LÄN</t>
        </is>
      </c>
      <c r="E32" t="inlineStr">
        <is>
          <t>BOTKYRKA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HYPERLINK("https://klasma.github.io/Logging_0127/artfynd/A 1691-2023 artfynd.xlsx", "A 1691-2023")</f>
        <v/>
      </c>
      <c r="T32">
        <f>HYPERLINK("https://klasma.github.io/Logging_0127/kartor/A 1691-2023 karta.png", "A 1691-2023")</f>
        <v/>
      </c>
      <c r="V32">
        <f>HYPERLINK("https://klasma.github.io/Logging_0127/klagomål/A 1691-2023 FSC-klagomål.docx", "A 1691-2023")</f>
        <v/>
      </c>
      <c r="W32">
        <f>HYPERLINK("https://klasma.github.io/Logging_0127/klagomålsmail/A 1691-2023 FSC-klagomål mail.docx", "A 1691-2023")</f>
        <v/>
      </c>
      <c r="X32">
        <f>HYPERLINK("https://klasma.github.io/Logging_0127/tillsyn/A 1691-2023 tillsynsbegäran.docx", "A 1691-2023")</f>
        <v/>
      </c>
      <c r="Y32">
        <f>HYPERLINK("https://klasma.github.io/Logging_0127/tillsynsmail/A 1691-2023 tillsynsbegäran mail.docx", "A 1691-2023")</f>
        <v/>
      </c>
    </row>
    <row r="33" ht="15" customHeight="1">
      <c r="A33" t="inlineStr">
        <is>
          <t>A 61514-2022</t>
        </is>
      </c>
      <c r="B33" s="1" t="n">
        <v>44916</v>
      </c>
      <c r="C33" s="1" t="n">
        <v>46204</v>
      </c>
      <c r="D33" t="inlineStr">
        <is>
          <t>STOCKHOLMS LÄN</t>
        </is>
      </c>
      <c r="E33" t="inlineStr">
        <is>
          <t>BOTKYRKA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groda</t>
        </is>
      </c>
      <c r="S33">
        <f>HYPERLINK("https://klasma.github.io/Logging_0127/artfynd/A 61514-2022 artfynd.xlsx", "A 61514-2022")</f>
        <v/>
      </c>
      <c r="T33">
        <f>HYPERLINK("https://klasma.github.io/Logging_0127/kartor/A 61514-2022 karta.png", "A 61514-2022")</f>
        <v/>
      </c>
      <c r="V33">
        <f>HYPERLINK("https://klasma.github.io/Logging_0127/klagomål/A 61514-2022 FSC-klagomål.docx", "A 61514-2022")</f>
        <v/>
      </c>
      <c r="W33">
        <f>HYPERLINK("https://klasma.github.io/Logging_0127/klagomålsmail/A 61514-2022 FSC-klagomål mail.docx", "A 61514-2022")</f>
        <v/>
      </c>
      <c r="X33">
        <f>HYPERLINK("https://klasma.github.io/Logging_0127/tillsyn/A 61514-2022 tillsynsbegäran.docx", "A 61514-2022")</f>
        <v/>
      </c>
      <c r="Y33">
        <f>HYPERLINK("https://klasma.github.io/Logging_0127/tillsynsmail/A 61514-2022 tillsynsbegäran mail.docx", "A 61514-2022")</f>
        <v/>
      </c>
    </row>
    <row r="34" ht="15" customHeight="1">
      <c r="A34" t="inlineStr">
        <is>
          <t>A 3681-2022</t>
        </is>
      </c>
      <c r="B34" s="1" t="n">
        <v>44586</v>
      </c>
      <c r="C34" s="1" t="n">
        <v>46204</v>
      </c>
      <c r="D34" t="inlineStr">
        <is>
          <t>STOCKHOLMS LÄN</t>
        </is>
      </c>
      <c r="E34" t="inlineStr">
        <is>
          <t>BOTKYRKA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48667-2022</t>
        </is>
      </c>
      <c r="B35" s="1" t="n">
        <v>44859</v>
      </c>
      <c r="C35" s="1" t="n">
        <v>46204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32828-2022</t>
        </is>
      </c>
      <c r="B36" s="1" t="n">
        <v>44784</v>
      </c>
      <c r="C36" s="1" t="n">
        <v>46204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73772-2021</t>
        </is>
      </c>
      <c r="B37" s="1" t="n">
        <v>44552</v>
      </c>
      <c r="C37" s="1" t="n">
        <v>46204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52035-2021</t>
        </is>
      </c>
      <c r="B38" s="1" t="n">
        <v>44463</v>
      </c>
      <c r="C38" s="1" t="n">
        <v>46204</v>
      </c>
      <c r="D38" t="inlineStr">
        <is>
          <t>STOCKHOLMS LÄN</t>
        </is>
      </c>
      <c r="E38" t="inlineStr">
        <is>
          <t>BOTKYRKA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48647-2022</t>
        </is>
      </c>
      <c r="B39" s="1" t="n">
        <v>44859</v>
      </c>
      <c r="C39" s="1" t="n">
        <v>46204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14202-2025</t>
        </is>
      </c>
      <c r="B40" s="1" t="n">
        <v>45740</v>
      </c>
      <c r="C40" s="1" t="n">
        <v>46204</v>
      </c>
      <c r="D40" t="inlineStr">
        <is>
          <t>STOCKHOLMS LÄN</t>
        </is>
      </c>
      <c r="E40" t="inlineStr">
        <is>
          <t>BOTKYRKA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61242-2022</t>
        </is>
      </c>
      <c r="B41" s="1" t="n">
        <v>44915</v>
      </c>
      <c r="C41" s="1" t="n">
        <v>46204</v>
      </c>
      <c r="D41" t="inlineStr">
        <is>
          <t>STOCKHOLMS LÄN</t>
        </is>
      </c>
      <c r="E41" t="inlineStr">
        <is>
          <t>BOTKYRKA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21285-2023</t>
        </is>
      </c>
      <c r="B42" s="1" t="n">
        <v>45062</v>
      </c>
      <c r="C42" s="1" t="n">
        <v>46204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30925-2023</t>
        </is>
      </c>
      <c r="B43" s="1" t="n">
        <v>45113</v>
      </c>
      <c r="C43" s="1" t="n">
        <v>46204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14217-2025</t>
        </is>
      </c>
      <c r="B44" s="1" t="n">
        <v>45740</v>
      </c>
      <c r="C44" s="1" t="n">
        <v>46204</v>
      </c>
      <c r="D44" t="inlineStr">
        <is>
          <t>STOCKHOLMS LÄN</t>
        </is>
      </c>
      <c r="E44" t="inlineStr">
        <is>
          <t>BOTKYRKA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</v>
      </c>
      <c r="C45" s="1" t="n">
        <v>46204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16483-2023</t>
        </is>
      </c>
      <c r="B46" s="1" t="n">
        <v>45029</v>
      </c>
      <c r="C46" s="1" t="n">
        <v>46204</v>
      </c>
      <c r="D46" t="inlineStr">
        <is>
          <t>STOCKHOLMS LÄN</t>
        </is>
      </c>
      <c r="E46" t="inlineStr">
        <is>
          <t>BOTKYRKA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46405-2022</t>
        </is>
      </c>
      <c r="B47" s="1" t="n">
        <v>44846</v>
      </c>
      <c r="C47" s="1" t="n">
        <v>46204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46204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12306-2026</t>
        </is>
      </c>
      <c r="B49" s="1" t="n">
        <v>46087</v>
      </c>
      <c r="C49" s="1" t="n">
        <v>46204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12294-2026</t>
        </is>
      </c>
      <c r="B50" s="1" t="n">
        <v>46087</v>
      </c>
      <c r="C50" s="1" t="n">
        <v>46204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8528-2024</t>
        </is>
      </c>
      <c r="B51" s="1" t="n">
        <v>45355</v>
      </c>
      <c r="C51" s="1" t="n">
        <v>46204</v>
      </c>
      <c r="D51" t="inlineStr">
        <is>
          <t>STOCKHOLMS LÄN</t>
        </is>
      </c>
      <c r="E51" t="inlineStr">
        <is>
          <t>BOTKYRKA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45869-2022</t>
        </is>
      </c>
      <c r="B52" s="1" t="n">
        <v>44844</v>
      </c>
      <c r="C52" s="1" t="n">
        <v>46204</v>
      </c>
      <c r="D52" t="inlineStr">
        <is>
          <t>STOCKHOLMS LÄN</t>
        </is>
      </c>
      <c r="E52" t="inlineStr">
        <is>
          <t>BOTKYRKA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3686-2022</t>
        </is>
      </c>
      <c r="B53" s="1" t="n">
        <v>44586</v>
      </c>
      <c r="C53" s="1" t="n">
        <v>46204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54468-2025</t>
        </is>
      </c>
      <c r="B54" s="1" t="n">
        <v>45965</v>
      </c>
      <c r="C54" s="1" t="n">
        <v>46204</v>
      </c>
      <c r="D54" t="inlineStr">
        <is>
          <t>STOCKHOLMS LÄN</t>
        </is>
      </c>
      <c r="E54" t="inlineStr">
        <is>
          <t>BOTKYRKA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15692-2023</t>
        </is>
      </c>
      <c r="B55" s="1" t="n">
        <v>45020</v>
      </c>
      <c r="C55" s="1" t="n">
        <v>46204</v>
      </c>
      <c r="D55" t="inlineStr">
        <is>
          <t>STOCKHOLMS LÄN</t>
        </is>
      </c>
      <c r="E55" t="inlineStr">
        <is>
          <t>BOTKYRKA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</v>
      </c>
      <c r="C56" s="1" t="n">
        <v>46204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9032-2023</t>
        </is>
      </c>
      <c r="B57" s="1" t="n">
        <v>44979</v>
      </c>
      <c r="C57" s="1" t="n">
        <v>46204</v>
      </c>
      <c r="D57" t="inlineStr">
        <is>
          <t>STOCKHOLMS LÄN</t>
        </is>
      </c>
      <c r="E57" t="inlineStr">
        <is>
          <t>BOTKYRKA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73155-2021</t>
        </is>
      </c>
      <c r="B58" s="1" t="n">
        <v>44550</v>
      </c>
      <c r="C58" s="1" t="n">
        <v>46204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23718-2026</t>
        </is>
      </c>
      <c r="B59" s="1" t="n">
        <v>46164</v>
      </c>
      <c r="C59" s="1" t="n">
        <v>46204</v>
      </c>
      <c r="D59" t="inlineStr">
        <is>
          <t>STOCKHOLMS LÄN</t>
        </is>
      </c>
      <c r="E59" t="inlineStr">
        <is>
          <t>BOTKYRKA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23725-2026</t>
        </is>
      </c>
      <c r="B60" s="1" t="n">
        <v>46164</v>
      </c>
      <c r="C60" s="1" t="n">
        <v>46204</v>
      </c>
      <c r="D60" t="inlineStr">
        <is>
          <t>STOCKHOLMS LÄN</t>
        </is>
      </c>
      <c r="E60" t="inlineStr">
        <is>
          <t>BOTKYRKA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23716-2026</t>
        </is>
      </c>
      <c r="B61" s="1" t="n">
        <v>46164</v>
      </c>
      <c r="C61" s="1" t="n">
        <v>46204</v>
      </c>
      <c r="D61" t="inlineStr">
        <is>
          <t>STOCKHOLMS LÄN</t>
        </is>
      </c>
      <c r="E61" t="inlineStr">
        <is>
          <t>BOTKYRKA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48656-2022</t>
        </is>
      </c>
      <c r="B62" s="1" t="n">
        <v>44859</v>
      </c>
      <c r="C62" s="1" t="n">
        <v>46204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38194-2022</t>
        </is>
      </c>
      <c r="B63" s="1" t="n">
        <v>44812</v>
      </c>
      <c r="C63" s="1" t="n">
        <v>46204</v>
      </c>
      <c r="D63" t="inlineStr">
        <is>
          <t>STOCKHOLMS LÄN</t>
        </is>
      </c>
      <c r="E63" t="inlineStr">
        <is>
          <t>BOTKYRKA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11867-2024</t>
        </is>
      </c>
      <c r="B64" s="1" t="n">
        <v>45376</v>
      </c>
      <c r="C64" s="1" t="n">
        <v>46204</v>
      </c>
      <c r="D64" t="inlineStr">
        <is>
          <t>STOCKHOLMS LÄN</t>
        </is>
      </c>
      <c r="E64" t="inlineStr">
        <is>
          <t>BOTKYRKA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46204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46204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46204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46204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27717-2026</t>
        </is>
      </c>
      <c r="B69" s="1" t="n">
        <v>46190</v>
      </c>
      <c r="C69" s="1" t="n">
        <v>46204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36097-2021</t>
        </is>
      </c>
      <c r="B70" s="1" t="n">
        <v>44389</v>
      </c>
      <c r="C70" s="1" t="n">
        <v>46204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16145-2024</t>
        </is>
      </c>
      <c r="B71" s="1" t="n">
        <v>45406</v>
      </c>
      <c r="C71" s="1" t="n">
        <v>46204</v>
      </c>
      <c r="D71" t="inlineStr">
        <is>
          <t>STOCKHOLMS LÄN</t>
        </is>
      </c>
      <c r="E71" t="inlineStr">
        <is>
          <t>BOTKYRKA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22391-2026</t>
        </is>
      </c>
      <c r="B72" s="1" t="n">
        <v>46154</v>
      </c>
      <c r="C72" s="1" t="n">
        <v>46204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3021-2025</t>
        </is>
      </c>
      <c r="B73" s="1" t="n">
        <v>45678</v>
      </c>
      <c r="C73" s="1" t="n">
        <v>46204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6059-2022</t>
        </is>
      </c>
      <c r="B74" s="1" t="n">
        <v>44599</v>
      </c>
      <c r="C74" s="1" t="n">
        <v>46204</v>
      </c>
      <c r="D74" t="inlineStr">
        <is>
          <t>STOCKHOLMS LÄN</t>
        </is>
      </c>
      <c r="E74" t="inlineStr">
        <is>
          <t>BOTKYRKA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37095-2021</t>
        </is>
      </c>
      <c r="B75" s="1" t="n">
        <v>44395</v>
      </c>
      <c r="C75" s="1" t="n">
        <v>46204</v>
      </c>
      <c r="D75" t="inlineStr">
        <is>
          <t>STOCKHOLMS LÄN</t>
        </is>
      </c>
      <c r="E75" t="inlineStr">
        <is>
          <t>BOTKYRKA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16142-2024</t>
        </is>
      </c>
      <c r="B76" s="1" t="n">
        <v>45406</v>
      </c>
      <c r="C76" s="1" t="n">
        <v>46204</v>
      </c>
      <c r="D76" t="inlineStr">
        <is>
          <t>STOCKHOLMS LÄN</t>
        </is>
      </c>
      <c r="E76" t="inlineStr">
        <is>
          <t>BOTKYRKA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11876-2024</t>
        </is>
      </c>
      <c r="B77" s="1" t="n">
        <v>45376</v>
      </c>
      <c r="C77" s="1" t="n">
        <v>46204</v>
      </c>
      <c r="D77" t="inlineStr">
        <is>
          <t>STOCKHOLMS LÄN</t>
        </is>
      </c>
      <c r="E77" t="inlineStr">
        <is>
          <t>BOTKYRKA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2026-07-01T01:02:31Z</dcterms:created>
  <dcterms:modified xmlns:dcterms="http://purl.org/dc/terms/" xmlns:xsi="http://www.w3.org/2001/XMLSchema-instance" xsi:type="dcterms:W3CDTF">2026-07-01T01:02:31Z</dcterms:modified>
</cp:coreProperties>
</file>