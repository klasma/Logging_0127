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45905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45905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Almsnabbvinge
Svartpälsbi
Igelkottsröksvamp
Sotriska
Vanlig groda
Mattlummer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45905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45905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14220-2025</t>
        </is>
      </c>
      <c r="B6" s="1" t="n">
        <v>45740</v>
      </c>
      <c r="C6" s="1" t="n">
        <v>45905</v>
      </c>
      <c r="D6" t="inlineStr">
        <is>
          <t>STOCKHOLMS LÄN</t>
        </is>
      </c>
      <c r="E6" t="inlineStr">
        <is>
          <t>BOTKYRKA</t>
        </is>
      </c>
      <c r="G6" t="n">
        <v>3.3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Tallticka
Tibast</t>
        </is>
      </c>
      <c r="S6">
        <f>HYPERLINK("https://klasma.github.io/Logging_0127/artfynd/A 14220-2025 artfynd.xlsx", "A 14220-2025")</f>
        <v/>
      </c>
      <c r="T6">
        <f>HYPERLINK("https://klasma.github.io/Logging_0127/kartor/A 14220-2025 karta.png", "A 14220-2025")</f>
        <v/>
      </c>
      <c r="U6">
        <f>HYPERLINK("https://klasma.github.io/Logging_0127/knärot/A 14220-2025 karta knärot.png", "A 14220-2025")</f>
        <v/>
      </c>
      <c r="V6">
        <f>HYPERLINK("https://klasma.github.io/Logging_0127/klagomål/A 14220-2025 FSC-klagomål.docx", "A 14220-2025")</f>
        <v/>
      </c>
      <c r="W6">
        <f>HYPERLINK("https://klasma.github.io/Logging_0127/klagomålsmail/A 14220-2025 FSC-klagomål mail.docx", "A 14220-2025")</f>
        <v/>
      </c>
      <c r="X6">
        <f>HYPERLINK("https://klasma.github.io/Logging_0127/tillsyn/A 14220-2025 tillsynsbegäran.docx", "A 14220-2025")</f>
        <v/>
      </c>
      <c r="Y6">
        <f>HYPERLINK("https://klasma.github.io/Logging_0127/tillsynsmail/A 14220-2025 tillsynsbegäran mail.docx", "A 14220-2025")</f>
        <v/>
      </c>
    </row>
    <row r="7" ht="15" customHeight="1">
      <c r="A7" t="inlineStr">
        <is>
          <t>A 1697-2023</t>
        </is>
      </c>
      <c r="B7" s="1" t="n">
        <v>44938</v>
      </c>
      <c r="C7" s="1" t="n">
        <v>45905</v>
      </c>
      <c r="D7" t="inlineStr">
        <is>
          <t>STOCKHOLMS LÄN</t>
        </is>
      </c>
      <c r="E7" t="inlineStr">
        <is>
          <t>BOTKYRKA</t>
        </is>
      </c>
      <c r="G7" t="n">
        <v>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Lunglav
Bårdlav</t>
        </is>
      </c>
      <c r="S7">
        <f>HYPERLINK("https://klasma.github.io/Logging_0127/artfynd/A 1697-2023 artfynd.xlsx", "A 1697-2023")</f>
        <v/>
      </c>
      <c r="T7">
        <f>HYPERLINK("https://klasma.github.io/Logging_0127/kartor/A 1697-2023 karta.png", "A 1697-2023")</f>
        <v/>
      </c>
      <c r="V7">
        <f>HYPERLINK("https://klasma.github.io/Logging_0127/klagomål/A 1697-2023 FSC-klagomål.docx", "A 1697-2023")</f>
        <v/>
      </c>
      <c r="W7">
        <f>HYPERLINK("https://klasma.github.io/Logging_0127/klagomålsmail/A 1697-2023 FSC-klagomål mail.docx", "A 1697-2023")</f>
        <v/>
      </c>
      <c r="X7">
        <f>HYPERLINK("https://klasma.github.io/Logging_0127/tillsyn/A 1697-2023 tillsynsbegäran.docx", "A 1697-2023")</f>
        <v/>
      </c>
      <c r="Y7">
        <f>HYPERLINK("https://klasma.github.io/Logging_0127/tillsynsmail/A 1697-2023 tillsynsbegäran mail.docx", "A 1697-2023")</f>
        <v/>
      </c>
    </row>
    <row r="8" ht="15" customHeight="1">
      <c r="A8" t="inlineStr">
        <is>
          <t>A 30055-2025</t>
        </is>
      </c>
      <c r="B8" s="1" t="n">
        <v>45826</v>
      </c>
      <c r="C8" s="1" t="n">
        <v>45905</v>
      </c>
      <c r="D8" t="inlineStr">
        <is>
          <t>STOCKHOLMS LÄN</t>
        </is>
      </c>
      <c r="E8" t="inlineStr">
        <is>
          <t>BOTKYRKA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Klasefibbla
Blåsippa</t>
        </is>
      </c>
      <c r="S8">
        <f>HYPERLINK("https://klasma.github.io/Logging_0127/artfynd/A 30055-2025 artfynd.xlsx", "A 30055-2025")</f>
        <v/>
      </c>
      <c r="T8">
        <f>HYPERLINK("https://klasma.github.io/Logging_0127/kartor/A 30055-2025 karta.png", "A 30055-2025")</f>
        <v/>
      </c>
      <c r="V8">
        <f>HYPERLINK("https://klasma.github.io/Logging_0127/klagomål/A 30055-2025 FSC-klagomål.docx", "A 30055-2025")</f>
        <v/>
      </c>
      <c r="W8">
        <f>HYPERLINK("https://klasma.github.io/Logging_0127/klagomålsmail/A 30055-2025 FSC-klagomål mail.docx", "A 30055-2025")</f>
        <v/>
      </c>
      <c r="X8">
        <f>HYPERLINK("https://klasma.github.io/Logging_0127/tillsyn/A 30055-2025 tillsynsbegäran.docx", "A 30055-2025")</f>
        <v/>
      </c>
      <c r="Y8">
        <f>HYPERLINK("https://klasma.github.io/Logging_0127/tillsynsmail/A 30055-2025 tillsynsbegäran mail.docx", "A 30055-2025")</f>
        <v/>
      </c>
    </row>
    <row r="9" ht="15" customHeight="1">
      <c r="A9" t="inlineStr">
        <is>
          <t>A 30067-2025</t>
        </is>
      </c>
      <c r="B9" s="1" t="n">
        <v>45826</v>
      </c>
      <c r="C9" s="1" t="n">
        <v>45905</v>
      </c>
      <c r="D9" t="inlineStr">
        <is>
          <t>STOCKHOLMS LÄN</t>
        </is>
      </c>
      <c r="E9" t="inlineStr">
        <is>
          <t>BOTKYRKA</t>
        </is>
      </c>
      <c r="G9" t="n">
        <v>11.9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HYPERLINK("https://klasma.github.io/Logging_0127/artfynd/A 30067-2025 artfynd.xlsx", "A 30067-2025")</f>
        <v/>
      </c>
      <c r="T9">
        <f>HYPERLINK("https://klasma.github.io/Logging_0127/kartor/A 30067-2025 karta.png", "A 30067-2025")</f>
        <v/>
      </c>
      <c r="V9">
        <f>HYPERLINK("https://klasma.github.io/Logging_0127/klagomål/A 30067-2025 FSC-klagomål.docx", "A 30067-2025")</f>
        <v/>
      </c>
      <c r="W9">
        <f>HYPERLINK("https://klasma.github.io/Logging_0127/klagomålsmail/A 30067-2025 FSC-klagomål mail.docx", "A 30067-2025")</f>
        <v/>
      </c>
      <c r="X9">
        <f>HYPERLINK("https://klasma.github.io/Logging_0127/tillsyn/A 30067-2025 tillsynsbegäran.docx", "A 30067-2025")</f>
        <v/>
      </c>
      <c r="Y9">
        <f>HYPERLINK("https://klasma.github.io/Logging_0127/tillsynsmail/A 30067-2025 tillsynsbegäran mail.docx", "A 30067-2025")</f>
        <v/>
      </c>
    </row>
    <row r="10" ht="15" customHeight="1">
      <c r="A10" t="inlineStr">
        <is>
          <t>A 695-2023</t>
        </is>
      </c>
      <c r="B10" s="1" t="n">
        <v>44930</v>
      </c>
      <c r="C10" s="1" t="n">
        <v>45905</v>
      </c>
      <c r="D10" t="inlineStr">
        <is>
          <t>STOCKHOLMS LÄN</t>
        </is>
      </c>
      <c r="E10" t="inlineStr">
        <is>
          <t>BOTKYRKA</t>
        </is>
      </c>
      <c r="G10" t="n">
        <v>13.6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Gulsparv
Kungsfågel</t>
        </is>
      </c>
      <c r="S10">
        <f>HYPERLINK("https://klasma.github.io/Logging_0127/artfynd/A 695-2023 artfynd.xlsx", "A 695-2023")</f>
        <v/>
      </c>
      <c r="T10">
        <f>HYPERLINK("https://klasma.github.io/Logging_0127/kartor/A 695-2023 karta.png", "A 695-2023")</f>
        <v/>
      </c>
      <c r="V10">
        <f>HYPERLINK("https://klasma.github.io/Logging_0127/klagomål/A 695-2023 FSC-klagomål.docx", "A 695-2023")</f>
        <v/>
      </c>
      <c r="W10">
        <f>HYPERLINK("https://klasma.github.io/Logging_0127/klagomålsmail/A 695-2023 FSC-klagomål mail.docx", "A 695-2023")</f>
        <v/>
      </c>
      <c r="X10">
        <f>HYPERLINK("https://klasma.github.io/Logging_0127/tillsyn/A 695-2023 tillsynsbegäran.docx", "A 695-2023")</f>
        <v/>
      </c>
      <c r="Y10">
        <f>HYPERLINK("https://klasma.github.io/Logging_0127/tillsynsmail/A 695-2023 tillsynsbegäran mail.docx", "A 695-2023")</f>
        <v/>
      </c>
      <c r="Z10">
        <f>HYPERLINK("https://klasma.github.io/Logging_0127/fåglar/A 695-2023 prioriterade fågelarter.docx", "A 695-2023")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45905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23829-2023</t>
        </is>
      </c>
      <c r="B12" s="1" t="n">
        <v>45078</v>
      </c>
      <c r="C12" s="1" t="n">
        <v>45905</v>
      </c>
      <c r="D12" t="inlineStr">
        <is>
          <t>STOCKHOLMS LÄN</t>
        </is>
      </c>
      <c r="E12" t="inlineStr">
        <is>
          <t>BOTKYRKA</t>
        </is>
      </c>
      <c r="F12" t="inlineStr">
        <is>
          <t>Kommuner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Fjällig taggsvamp s.str.</t>
        </is>
      </c>
      <c r="S12">
        <f>HYPERLINK("https://klasma.github.io/Logging_0127/artfynd/A 23829-2023 artfynd.xlsx", "A 23829-2023")</f>
        <v/>
      </c>
      <c r="T12">
        <f>HYPERLINK("https://klasma.github.io/Logging_0127/kartor/A 23829-2023 karta.png", "A 23829-2023")</f>
        <v/>
      </c>
      <c r="V12">
        <f>HYPERLINK("https://klasma.github.io/Logging_0127/klagomål/A 23829-2023 FSC-klagomål.docx", "A 23829-2023")</f>
        <v/>
      </c>
      <c r="W12">
        <f>HYPERLINK("https://klasma.github.io/Logging_0127/klagomålsmail/A 23829-2023 FSC-klagomål mail.docx", "A 23829-2023")</f>
        <v/>
      </c>
      <c r="X12">
        <f>HYPERLINK("https://klasma.github.io/Logging_0127/tillsyn/A 23829-2023 tillsynsbegäran.docx", "A 23829-2023")</f>
        <v/>
      </c>
      <c r="Y12">
        <f>HYPERLINK("https://klasma.github.io/Logging_0127/tillsynsmail/A 23829-2023 tillsynsbegäran mail.docx", "A 23829-2023")</f>
        <v/>
      </c>
    </row>
    <row r="13" ht="15" customHeight="1">
      <c r="A13" t="inlineStr">
        <is>
          <t>A 1691-2023</t>
        </is>
      </c>
      <c r="B13" s="1" t="n">
        <v>44938</v>
      </c>
      <c r="C13" s="1" t="n">
        <v>45905</v>
      </c>
      <c r="D13" t="inlineStr">
        <is>
          <t>STOCKHOLMS LÄN</t>
        </is>
      </c>
      <c r="E13" t="inlineStr">
        <is>
          <t>BOTKYRKA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1691-2023 artfynd.xlsx", "A 1691-2023")</f>
        <v/>
      </c>
      <c r="T13">
        <f>HYPERLINK("https://klasma.github.io/Logging_0127/kartor/A 1691-2023 karta.png", "A 1691-2023")</f>
        <v/>
      </c>
      <c r="V13">
        <f>HYPERLINK("https://klasma.github.io/Logging_0127/klagomål/A 1691-2023 FSC-klagomål.docx", "A 1691-2023")</f>
        <v/>
      </c>
      <c r="W13">
        <f>HYPERLINK("https://klasma.github.io/Logging_0127/klagomålsmail/A 1691-2023 FSC-klagomål mail.docx", "A 1691-2023")</f>
        <v/>
      </c>
      <c r="X13">
        <f>HYPERLINK("https://klasma.github.io/Logging_0127/tillsyn/A 1691-2023 tillsynsbegäran.docx", "A 1691-2023")</f>
        <v/>
      </c>
      <c r="Y13">
        <f>HYPERLINK("https://klasma.github.io/Logging_0127/tillsynsmail/A 1691-2023 tillsynsbegäran mail.docx", "A 1691-2023")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45905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45905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45905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27791-2021</t>
        </is>
      </c>
      <c r="B17" s="1" t="n">
        <v>44354</v>
      </c>
      <c r="C17" s="1" t="n">
        <v>45905</v>
      </c>
      <c r="D17" t="inlineStr">
        <is>
          <t>STOCKHOLMS LÄN</t>
        </is>
      </c>
      <c r="E17" t="inlineStr">
        <is>
          <t>BOTKYRKA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3681-2022</t>
        </is>
      </c>
      <c r="B18" s="1" t="n">
        <v>44586</v>
      </c>
      <c r="C18" s="1" t="n">
        <v>45905</v>
      </c>
      <c r="D18" t="inlineStr">
        <is>
          <t>STOCKHOLMS LÄN</t>
        </is>
      </c>
      <c r="E18" t="inlineStr">
        <is>
          <t>BOTKYRKA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48667-2022</t>
        </is>
      </c>
      <c r="B19" s="1" t="n">
        <v>44859</v>
      </c>
      <c r="C19" s="1" t="n">
        <v>45905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35492-2021</t>
        </is>
      </c>
      <c r="B20" s="1" t="n">
        <v>44385</v>
      </c>
      <c r="C20" s="1" t="n">
        <v>45905</v>
      </c>
      <c r="D20" t="inlineStr">
        <is>
          <t>STOCKHOLMS LÄN</t>
        </is>
      </c>
      <c r="E20" t="inlineStr">
        <is>
          <t>BOTKYRKA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20210-2021</t>
        </is>
      </c>
      <c r="B21" s="1" t="n">
        <v>44314</v>
      </c>
      <c r="C21" s="1" t="n">
        <v>45905</v>
      </c>
      <c r="D21" t="inlineStr">
        <is>
          <t>STOCKHOLMS LÄN</t>
        </is>
      </c>
      <c r="E21" t="inlineStr">
        <is>
          <t>BOTKYRKA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73772-2021</t>
        </is>
      </c>
      <c r="B22" s="1" t="n">
        <v>44552</v>
      </c>
      <c r="C22" s="1" t="n">
        <v>45905</v>
      </c>
      <c r="D22" t="inlineStr">
        <is>
          <t>STOCKHOLMS LÄN</t>
        </is>
      </c>
      <c r="E22" t="inlineStr">
        <is>
          <t>BOTKYRKA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32828-2022</t>
        </is>
      </c>
      <c r="B23" s="1" t="n">
        <v>44784</v>
      </c>
      <c r="C23" s="1" t="n">
        <v>45905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48647-2022</t>
        </is>
      </c>
      <c r="B24" s="1" t="n">
        <v>44859</v>
      </c>
      <c r="C24" s="1" t="n">
        <v>45905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45905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10817-2021</t>
        </is>
      </c>
      <c r="B26" s="1" t="n">
        <v>44259</v>
      </c>
      <c r="C26" s="1" t="n">
        <v>45905</v>
      </c>
      <c r="D26" t="inlineStr">
        <is>
          <t>STOCKHOLMS LÄN</t>
        </is>
      </c>
      <c r="E26" t="inlineStr">
        <is>
          <t>BOTKYRKA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33015-2021</t>
        </is>
      </c>
      <c r="B27" s="1" t="n">
        <v>44376</v>
      </c>
      <c r="C27" s="1" t="n">
        <v>45905</v>
      </c>
      <c r="D27" t="inlineStr">
        <is>
          <t>STOCKHOLMS LÄN</t>
        </is>
      </c>
      <c r="E27" t="inlineStr">
        <is>
          <t>BOTKYRKA</t>
        </is>
      </c>
      <c r="G27" t="n">
        <v>48.7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33016-2021</t>
        </is>
      </c>
      <c r="B28" s="1" t="n">
        <v>44376</v>
      </c>
      <c r="C28" s="1" t="n">
        <v>45905</v>
      </c>
      <c r="D28" t="inlineStr">
        <is>
          <t>STOCKHOLMS LÄN</t>
        </is>
      </c>
      <c r="E28" t="inlineStr">
        <is>
          <t>BOTKYRKA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45905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16149-2024</t>
        </is>
      </c>
      <c r="B30" s="1" t="n">
        <v>45406.56984953704</v>
      </c>
      <c r="C30" s="1" t="n">
        <v>45905</v>
      </c>
      <c r="D30" t="inlineStr">
        <is>
          <t>STOCKHOLMS LÄN</t>
        </is>
      </c>
      <c r="E30" t="inlineStr">
        <is>
          <t>BOTKYRKA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16145-2024</t>
        </is>
      </c>
      <c r="B31" s="1" t="n">
        <v>45406.56561342593</v>
      </c>
      <c r="C31" s="1" t="n">
        <v>45905</v>
      </c>
      <c r="D31" t="inlineStr">
        <is>
          <t>STOCKHOLMS LÄN</t>
        </is>
      </c>
      <c r="E31" t="inlineStr">
        <is>
          <t>BOTKYRKA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48656-2022</t>
        </is>
      </c>
      <c r="B32" s="1" t="n">
        <v>44859.43993055556</v>
      </c>
      <c r="C32" s="1" t="n">
        <v>45905</v>
      </c>
      <c r="D32" t="inlineStr">
        <is>
          <t>STOCKHOLMS LÄN</t>
        </is>
      </c>
      <c r="E32" t="inlineStr">
        <is>
          <t>BOTKYRKA</t>
        </is>
      </c>
      <c r="F32" t="inlineStr">
        <is>
          <t>Övriga Aktiebolag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73151-2021</t>
        </is>
      </c>
      <c r="B33" s="1" t="n">
        <v>44550.5162037037</v>
      </c>
      <c r="C33" s="1" t="n">
        <v>45905</v>
      </c>
      <c r="D33" t="inlineStr">
        <is>
          <t>STOCKHOLMS LÄN</t>
        </is>
      </c>
      <c r="E33" t="inlineStr">
        <is>
          <t>BOTKYRKA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73194-2021</t>
        </is>
      </c>
      <c r="B34" s="1" t="n">
        <v>44550.61508101852</v>
      </c>
      <c r="C34" s="1" t="n">
        <v>45905</v>
      </c>
      <c r="D34" t="inlineStr">
        <is>
          <t>STOCKHOLMS LÄN</t>
        </is>
      </c>
      <c r="E34" t="inlineStr">
        <is>
          <t>BOTKYRKA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46405-2022</t>
        </is>
      </c>
      <c r="B35" s="1" t="n">
        <v>44846</v>
      </c>
      <c r="C35" s="1" t="n">
        <v>45905</v>
      </c>
      <c r="D35" t="inlineStr">
        <is>
          <t>STOCKHOLMS LÄN</t>
        </is>
      </c>
      <c r="E35" t="inlineStr">
        <is>
          <t>BOTKYRKA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37095-2021</t>
        </is>
      </c>
      <c r="B36" s="1" t="n">
        <v>44395</v>
      </c>
      <c r="C36" s="1" t="n">
        <v>45905</v>
      </c>
      <c r="D36" t="inlineStr">
        <is>
          <t>STOCKHOLMS LÄN</t>
        </is>
      </c>
      <c r="E36" t="inlineStr">
        <is>
          <t>BOTKYRKA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61242-2022</t>
        </is>
      </c>
      <c r="B37" s="1" t="n">
        <v>44915</v>
      </c>
      <c r="C37" s="1" t="n">
        <v>45905</v>
      </c>
      <c r="D37" t="inlineStr">
        <is>
          <t>STOCKHOLMS LÄN</t>
        </is>
      </c>
      <c r="E37" t="inlineStr">
        <is>
          <t>BOTKYRKA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38194-2022</t>
        </is>
      </c>
      <c r="B38" s="1" t="n">
        <v>44812</v>
      </c>
      <c r="C38" s="1" t="n">
        <v>45905</v>
      </c>
      <c r="D38" t="inlineStr">
        <is>
          <t>STOCKHOLMS LÄN</t>
        </is>
      </c>
      <c r="E38" t="inlineStr">
        <is>
          <t>BOTKYRKA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11876-2024</t>
        </is>
      </c>
      <c r="B39" s="1" t="n">
        <v>45376.47072916666</v>
      </c>
      <c r="C39" s="1" t="n">
        <v>45905</v>
      </c>
      <c r="D39" t="inlineStr">
        <is>
          <t>STOCKHOLMS LÄN</t>
        </is>
      </c>
      <c r="E39" t="inlineStr">
        <is>
          <t>BOTKYRKA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54002-2020</t>
        </is>
      </c>
      <c r="B40" s="1" t="n">
        <v>44125</v>
      </c>
      <c r="C40" s="1" t="n">
        <v>45905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16142-2024</t>
        </is>
      </c>
      <c r="B41" s="1" t="n">
        <v>45406</v>
      </c>
      <c r="C41" s="1" t="n">
        <v>45905</v>
      </c>
      <c r="D41" t="inlineStr">
        <is>
          <t>STOCKHOLMS LÄN</t>
        </is>
      </c>
      <c r="E41" t="inlineStr">
        <is>
          <t>BOTKYRKA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3726-2022</t>
        </is>
      </c>
      <c r="B42" s="1" t="n">
        <v>44586</v>
      </c>
      <c r="C42" s="1" t="n">
        <v>45905</v>
      </c>
      <c r="D42" t="inlineStr">
        <is>
          <t>STOCKHOLMS LÄN</t>
        </is>
      </c>
      <c r="E42" t="inlineStr">
        <is>
          <t>BOTKYRKA</t>
        </is>
      </c>
      <c r="G42" t="n">
        <v>17.1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15690-2023</t>
        </is>
      </c>
      <c r="B43" s="1" t="n">
        <v>45020</v>
      </c>
      <c r="C43" s="1" t="n">
        <v>45905</v>
      </c>
      <c r="D43" t="inlineStr">
        <is>
          <t>STOCKHOLMS LÄN</t>
        </is>
      </c>
      <c r="E43" t="inlineStr">
        <is>
          <t>BOTKYRKA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28983-2024</t>
        </is>
      </c>
      <c r="B44" s="1" t="n">
        <v>45481.47731481482</v>
      </c>
      <c r="C44" s="1" t="n">
        <v>45905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73155-2021</t>
        </is>
      </c>
      <c r="B45" s="1" t="n">
        <v>44550</v>
      </c>
      <c r="C45" s="1" t="n">
        <v>45905</v>
      </c>
      <c r="D45" t="inlineStr">
        <is>
          <t>STOCKHOLMS LÄN</t>
        </is>
      </c>
      <c r="E45" t="inlineStr">
        <is>
          <t>BOTKYRKA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53979-2020</t>
        </is>
      </c>
      <c r="B46" s="1" t="n">
        <v>44125</v>
      </c>
      <c r="C46" s="1" t="n">
        <v>45905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30378-2024</t>
        </is>
      </c>
      <c r="B47" s="1" t="n">
        <v>45491</v>
      </c>
      <c r="C47" s="1" t="n">
        <v>45905</v>
      </c>
      <c r="D47" t="inlineStr">
        <is>
          <t>STOCKHOLMS LÄN</t>
        </is>
      </c>
      <c r="E47" t="inlineStr">
        <is>
          <t>BOTKYRKA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177-2021</t>
        </is>
      </c>
      <c r="B48" s="1" t="n">
        <v>44200</v>
      </c>
      <c r="C48" s="1" t="n">
        <v>45905</v>
      </c>
      <c r="D48" t="inlineStr">
        <is>
          <t>STOCKHOLMS LÄN</t>
        </is>
      </c>
      <c r="E48" t="inlineStr">
        <is>
          <t>BOTKYRKA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15905-2022</t>
        </is>
      </c>
      <c r="B49" s="1" t="n">
        <v>44664</v>
      </c>
      <c r="C49" s="1" t="n">
        <v>45905</v>
      </c>
      <c r="D49" t="inlineStr">
        <is>
          <t>STOCKHOLMS LÄN</t>
        </is>
      </c>
      <c r="E49" t="inlineStr">
        <is>
          <t>BOTKYRKA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61514-2022</t>
        </is>
      </c>
      <c r="B50" s="1" t="n">
        <v>44916</v>
      </c>
      <c r="C50" s="1" t="n">
        <v>45905</v>
      </c>
      <c r="D50" t="inlineStr">
        <is>
          <t>STOCKHOLMS LÄN</t>
        </is>
      </c>
      <c r="E50" t="inlineStr">
        <is>
          <t>BOTKYRKA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15692-2023</t>
        </is>
      </c>
      <c r="B51" s="1" t="n">
        <v>45020</v>
      </c>
      <c r="C51" s="1" t="n">
        <v>45905</v>
      </c>
      <c r="D51" t="inlineStr">
        <is>
          <t>STOCKHOLMS LÄN</t>
        </is>
      </c>
      <c r="E51" t="inlineStr">
        <is>
          <t>BOTKYRKA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10815-2021</t>
        </is>
      </c>
      <c r="B52" s="1" t="n">
        <v>44259</v>
      </c>
      <c r="C52" s="1" t="n">
        <v>45905</v>
      </c>
      <c r="D52" t="inlineStr">
        <is>
          <t>STOCKHOLMS LÄN</t>
        </is>
      </c>
      <c r="E52" t="inlineStr">
        <is>
          <t>BOTKYRKA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14202-2025</t>
        </is>
      </c>
      <c r="B53" s="1" t="n">
        <v>45740.57461805556</v>
      </c>
      <c r="C53" s="1" t="n">
        <v>45905</v>
      </c>
      <c r="D53" t="inlineStr">
        <is>
          <t>STOCKHOLMS LÄN</t>
        </is>
      </c>
      <c r="E53" t="inlineStr">
        <is>
          <t>BOTKYRKA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20649-2022</t>
        </is>
      </c>
      <c r="B54" s="1" t="n">
        <v>44700</v>
      </c>
      <c r="C54" s="1" t="n">
        <v>45905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6059-2022</t>
        </is>
      </c>
      <c r="B55" s="1" t="n">
        <v>44599</v>
      </c>
      <c r="C55" s="1" t="n">
        <v>45905</v>
      </c>
      <c r="D55" t="inlineStr">
        <is>
          <t>STOCKHOLMS LÄN</t>
        </is>
      </c>
      <c r="E55" t="inlineStr">
        <is>
          <t>BOTKYRKA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61225-2022</t>
        </is>
      </c>
      <c r="B56" s="1" t="n">
        <v>44915</v>
      </c>
      <c r="C56" s="1" t="n">
        <v>45905</v>
      </c>
      <c r="D56" t="inlineStr">
        <is>
          <t>STOCKHOLMS LÄN</t>
        </is>
      </c>
      <c r="E56" t="inlineStr">
        <is>
          <t>BOTKYRKA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8528-2024</t>
        </is>
      </c>
      <c r="B57" s="1" t="n">
        <v>45355.49099537037</v>
      </c>
      <c r="C57" s="1" t="n">
        <v>45905</v>
      </c>
      <c r="D57" t="inlineStr">
        <is>
          <t>STOCKHOLMS LÄN</t>
        </is>
      </c>
      <c r="E57" t="inlineStr">
        <is>
          <t>BOTKYRKA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21285-2023</t>
        </is>
      </c>
      <c r="B58" s="1" t="n">
        <v>45062</v>
      </c>
      <c r="C58" s="1" t="n">
        <v>45905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3686-2022</t>
        </is>
      </c>
      <c r="B59" s="1" t="n">
        <v>44586.57239583333</v>
      </c>
      <c r="C59" s="1" t="n">
        <v>45905</v>
      </c>
      <c r="D59" t="inlineStr">
        <is>
          <t>STOCKHOLMS LÄN</t>
        </is>
      </c>
      <c r="E59" t="inlineStr">
        <is>
          <t>BOTKYRKA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35197-2024</t>
        </is>
      </c>
      <c r="B60" s="1" t="n">
        <v>45530</v>
      </c>
      <c r="C60" s="1" t="n">
        <v>45905</v>
      </c>
      <c r="D60" t="inlineStr">
        <is>
          <t>STOCKHOLMS LÄN</t>
        </is>
      </c>
      <c r="E60" t="inlineStr">
        <is>
          <t>BOTKYRKA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3021-2025</t>
        </is>
      </c>
      <c r="B61" s="1" t="n">
        <v>45678.57962962963</v>
      </c>
      <c r="C61" s="1" t="n">
        <v>45905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55200-2020</t>
        </is>
      </c>
      <c r="B62" s="1" t="n">
        <v>44130</v>
      </c>
      <c r="C62" s="1" t="n">
        <v>45905</v>
      </c>
      <c r="D62" t="inlineStr">
        <is>
          <t>STOCKHOLMS LÄN</t>
        </is>
      </c>
      <c r="E62" t="inlineStr">
        <is>
          <t>BOTKYRKA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36097-2021</t>
        </is>
      </c>
      <c r="B63" s="1" t="n">
        <v>44389</v>
      </c>
      <c r="C63" s="1" t="n">
        <v>45905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9032-2023</t>
        </is>
      </c>
      <c r="B64" s="1" t="n">
        <v>44979</v>
      </c>
      <c r="C64" s="1" t="n">
        <v>45905</v>
      </c>
      <c r="D64" t="inlineStr">
        <is>
          <t>STOCKHOLMS LÄN</t>
        </is>
      </c>
      <c r="E64" t="inlineStr">
        <is>
          <t>BOTKYRKA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58517-2020</t>
        </is>
      </c>
      <c r="B65" s="1" t="n">
        <v>44145</v>
      </c>
      <c r="C65" s="1" t="n">
        <v>45905</v>
      </c>
      <c r="D65" t="inlineStr">
        <is>
          <t>STOCKHOLMS LÄN</t>
        </is>
      </c>
      <c r="E65" t="inlineStr">
        <is>
          <t>BOTKYRKA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25217-2024</t>
        </is>
      </c>
      <c r="B66" s="1" t="n">
        <v>45462</v>
      </c>
      <c r="C66" s="1" t="n">
        <v>45905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57809-2020</t>
        </is>
      </c>
      <c r="B67" s="1" t="n">
        <v>44141</v>
      </c>
      <c r="C67" s="1" t="n">
        <v>45905</v>
      </c>
      <c r="D67" t="inlineStr">
        <is>
          <t>STOCKHOLMS LÄN</t>
        </is>
      </c>
      <c r="E67" t="inlineStr">
        <is>
          <t>BOTKYRKA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11867-2024</t>
        </is>
      </c>
      <c r="B68" s="1" t="n">
        <v>45376.45421296296</v>
      </c>
      <c r="C68" s="1" t="n">
        <v>45905</v>
      </c>
      <c r="D68" t="inlineStr">
        <is>
          <t>STOCKHOLMS LÄN</t>
        </is>
      </c>
      <c r="E68" t="inlineStr">
        <is>
          <t>BOTKYRKA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16483-2023</t>
        </is>
      </c>
      <c r="B69" s="1" t="n">
        <v>45029</v>
      </c>
      <c r="C69" s="1" t="n">
        <v>45905</v>
      </c>
      <c r="D69" t="inlineStr">
        <is>
          <t>STOCKHOLMS LÄN</t>
        </is>
      </c>
      <c r="E69" t="inlineStr">
        <is>
          <t>BOTKYRKA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30622-2024</t>
        </is>
      </c>
      <c r="B70" s="1" t="n">
        <v>45495</v>
      </c>
      <c r="C70" s="1" t="n">
        <v>45905</v>
      </c>
      <c r="D70" t="inlineStr">
        <is>
          <t>STOCKHOLMS LÄN</t>
        </is>
      </c>
      <c r="E70" t="inlineStr">
        <is>
          <t>BOTKYRKA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61320-2024</t>
        </is>
      </c>
      <c r="B71" s="1" t="n">
        <v>45646.33262731481</v>
      </c>
      <c r="C71" s="1" t="n">
        <v>45905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30925-2023</t>
        </is>
      </c>
      <c r="B72" s="1" t="n">
        <v>45113</v>
      </c>
      <c r="C72" s="1" t="n">
        <v>45905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45869-2022</t>
        </is>
      </c>
      <c r="B73" s="1" t="n">
        <v>44844</v>
      </c>
      <c r="C73" s="1" t="n">
        <v>45905</v>
      </c>
      <c r="D73" t="inlineStr">
        <is>
          <t>STOCKHOLMS LÄN</t>
        </is>
      </c>
      <c r="E73" t="inlineStr">
        <is>
          <t>BOTKYRKA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14217-2025</t>
        </is>
      </c>
      <c r="B74" s="1" t="n">
        <v>45740.58534722222</v>
      </c>
      <c r="C74" s="1" t="n">
        <v>45905</v>
      </c>
      <c r="D74" t="inlineStr">
        <is>
          <t>STOCKHOLMS LÄN</t>
        </is>
      </c>
      <c r="E74" t="inlineStr">
        <is>
          <t>BOTKYRKA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2025-09-05T08:48:49Z</dcterms:created>
  <dcterms:modified xmlns:dcterms="http://purl.org/dc/terms/" xmlns:xsi="http://www.w3.org/2001/XMLSchema-instance" xsi:type="dcterms:W3CDTF">2025-09-05T08:48:49Z</dcterms:modified>
</cp:coreProperties>
</file>