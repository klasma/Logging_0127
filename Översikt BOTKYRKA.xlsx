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46158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46158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46158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46158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46158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46158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46158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46158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46158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46158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46158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46158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46158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60406-2025</t>
        </is>
      </c>
      <c r="B15" s="1" t="n">
        <v>45995.43050925926</v>
      </c>
      <c r="C15" s="1" t="n">
        <v>46158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2.3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Mindre märgborre</t>
        </is>
      </c>
      <c r="S15">
        <f>HYPERLINK("https://klasma.github.io/Logging_0127/artfynd/A 60406-2025 artfynd.xlsx", "A 60406-2025")</f>
        <v/>
      </c>
      <c r="T15">
        <f>HYPERLINK("https://klasma.github.io/Logging_0127/kartor/A 60406-2025 karta.png", "A 60406-2025")</f>
        <v/>
      </c>
      <c r="V15">
        <f>HYPERLINK("https://klasma.github.io/Logging_0127/klagomål/A 60406-2025 FSC-klagomål.docx", "A 60406-2025")</f>
        <v/>
      </c>
      <c r="W15">
        <f>HYPERLINK("https://klasma.github.io/Logging_0127/klagomålsmail/A 60406-2025 FSC-klagomål mail.docx", "A 60406-2025")</f>
        <v/>
      </c>
      <c r="X15">
        <f>HYPERLINK("https://klasma.github.io/Logging_0127/tillsyn/A 60406-2025 tillsynsbegäran.docx", "A 60406-2025")</f>
        <v/>
      </c>
      <c r="Y15">
        <f>HYPERLINK("https://klasma.github.io/Logging_0127/tillsynsmail/A 60406-2025 tillsynsbegäran mail.docx", "A 60406-2025")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46158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46158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46158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46158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46158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46158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46158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46158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3726-2022</t>
        </is>
      </c>
      <c r="B24" s="1" t="n">
        <v>44586</v>
      </c>
      <c r="C24" s="1" t="n">
        <v>46158</v>
      </c>
      <c r="D24" t="inlineStr">
        <is>
          <t>STOCKHOLMS LÄN</t>
        </is>
      </c>
      <c r="E24" t="inlineStr">
        <is>
          <t>BOTKYRKA</t>
        </is>
      </c>
      <c r="G24" t="n">
        <v>17.1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HYPERLINK("https://klasma.github.io/Logging_0127/artfynd/A 3726-2022 artfynd.xlsx", "A 3726-2022")</f>
        <v/>
      </c>
      <c r="T24">
        <f>HYPERLINK("https://klasma.github.io/Logging_0127/kartor/A 3726-2022 karta.png", "A 3726-2022")</f>
        <v/>
      </c>
      <c r="V24">
        <f>HYPERLINK("https://klasma.github.io/Logging_0127/klagomål/A 3726-2022 FSC-klagomål.docx", "A 3726-2022")</f>
        <v/>
      </c>
      <c r="W24">
        <f>HYPERLINK("https://klasma.github.io/Logging_0127/klagomålsmail/A 3726-2022 FSC-klagomål mail.docx", "A 3726-2022")</f>
        <v/>
      </c>
      <c r="X24">
        <f>HYPERLINK("https://klasma.github.io/Logging_0127/tillsyn/A 3726-2022 tillsynsbegäran.docx", "A 3726-2022")</f>
        <v/>
      </c>
      <c r="Y24">
        <f>HYPERLINK("https://klasma.github.io/Logging_0127/tillsynsmail/A 3726-2022 tillsynsbegäran mail.docx", "A 3726-2022")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46158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46158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46158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46158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46158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46158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46158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46158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46158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46158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46158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46158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46158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46158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46158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46158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46158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46158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46158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46158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46158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46158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46158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46158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46158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45740.57461805556</v>
      </c>
      <c r="C50" s="1" t="n">
        <v>46158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46158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46158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21285-2023</t>
        </is>
      </c>
      <c r="B53" s="1" t="n">
        <v>45062</v>
      </c>
      <c r="C53" s="1" t="n">
        <v>46158</v>
      </c>
      <c r="D53" t="inlineStr">
        <is>
          <t>STOCKHOLMS LÄN</t>
        </is>
      </c>
      <c r="E53" t="inlineStr">
        <is>
          <t>BOTKYRKA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46158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46158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36097-2021</t>
        </is>
      </c>
      <c r="B56" s="1" t="n">
        <v>44389</v>
      </c>
      <c r="C56" s="1" t="n">
        <v>46158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45376.45421296296</v>
      </c>
      <c r="C57" s="1" t="n">
        <v>46158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44550.5162037037</v>
      </c>
      <c r="C58" s="1" t="n">
        <v>46158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44550.61508101852</v>
      </c>
      <c r="C59" s="1" t="n">
        <v>46158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12306-2026</t>
        </is>
      </c>
      <c r="B60" s="1" t="n">
        <v>46087.57949074074</v>
      </c>
      <c r="C60" s="1" t="n">
        <v>46158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12294-2026</t>
        </is>
      </c>
      <c r="B61" s="1" t="n">
        <v>46087.55737268519</v>
      </c>
      <c r="C61" s="1" t="n">
        <v>46158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15690-2023</t>
        </is>
      </c>
      <c r="B62" s="1" t="n">
        <v>45020</v>
      </c>
      <c r="C62" s="1" t="n">
        <v>46158</v>
      </c>
      <c r="D62" t="inlineStr">
        <is>
          <t>STOCKHOLMS LÄN</t>
        </is>
      </c>
      <c r="E62" t="inlineStr">
        <is>
          <t>BOTKYRKA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22391-2026</t>
        </is>
      </c>
      <c r="B63" s="1" t="n">
        <v>46154.64201388889</v>
      </c>
      <c r="C63" s="1" t="n">
        <v>46158</v>
      </c>
      <c r="D63" t="inlineStr">
        <is>
          <t>STOCKHOLMS LÄN</t>
        </is>
      </c>
      <c r="E63" t="inlineStr">
        <is>
          <t>BOTKYRKA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20649-2022</t>
        </is>
      </c>
      <c r="B64" s="1" t="n">
        <v>44700</v>
      </c>
      <c r="C64" s="1" t="n">
        <v>46158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46158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46158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8528-2024</t>
        </is>
      </c>
      <c r="B67" s="1" t="n">
        <v>45355.49099537037</v>
      </c>
      <c r="C67" s="1" t="n">
        <v>46158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44586.57239583333</v>
      </c>
      <c r="C68" s="1" t="n">
        <v>46158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35197-2024</t>
        </is>
      </c>
      <c r="B69" s="1" t="n">
        <v>45530</v>
      </c>
      <c r="C69" s="1" t="n">
        <v>46158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46158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46158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16483-2023</t>
        </is>
      </c>
      <c r="B72" s="1" t="n">
        <v>45029</v>
      </c>
      <c r="C72" s="1" t="n">
        <v>46158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46158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61320-2024</t>
        </is>
      </c>
      <c r="B74" s="1" t="n">
        <v>45646.33262731481</v>
      </c>
      <c r="C74" s="1" t="n">
        <v>46158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30925-2023</t>
        </is>
      </c>
      <c r="B75" s="1" t="n">
        <v>45113</v>
      </c>
      <c r="C75" s="1" t="n">
        <v>46158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46158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14217-2025</t>
        </is>
      </c>
      <c r="B77" s="1" t="n">
        <v>45740.58534722222</v>
      </c>
      <c r="C77" s="1" t="n">
        <v>46158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61242-2022</t>
        </is>
      </c>
      <c r="B78" s="1" t="n">
        <v>44915</v>
      </c>
      <c r="C78" s="1" t="n">
        <v>46158</v>
      </c>
      <c r="D78" t="inlineStr">
        <is>
          <t>STOCKHOLMS LÄN</t>
        </is>
      </c>
      <c r="E78" t="inlineStr">
        <is>
          <t>BOTKYRKA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11876-2024</t>
        </is>
      </c>
      <c r="B79" s="1" t="n">
        <v>45376.47072916666</v>
      </c>
      <c r="C79" s="1" t="n">
        <v>46158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16142-2024</t>
        </is>
      </c>
      <c r="B80" s="1" t="n">
        <v>45406</v>
      </c>
      <c r="C80" s="1" t="n">
        <v>46158</v>
      </c>
      <c r="D80" t="inlineStr">
        <is>
          <t>STOCKHOLMS LÄN</t>
        </is>
      </c>
      <c r="E80" t="inlineStr">
        <is>
          <t>BOTKYRKA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2026-05-16T12:09:58Z</dcterms:created>
  <dcterms:modified xmlns:dcterms="http://purl.org/dc/terms/" xmlns:xsi="http://www.w3.org/2001/XMLSchema-instance" xsi:type="dcterms:W3CDTF">2026-05-16T12:09:59Z</dcterms:modified>
</cp:coreProperties>
</file>