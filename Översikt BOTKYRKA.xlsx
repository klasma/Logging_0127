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45985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48514-2025</t>
        </is>
      </c>
      <c r="B3" s="1" t="n">
        <v>45936</v>
      </c>
      <c r="C3" s="1" t="n">
        <v>45985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17.1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Lammticka
Motaggsvamp
Svartvit taggsvamp
Tallticka
Talltita
Mindre märgborre
Skarp dropptaggsvamp</t>
        </is>
      </c>
      <c r="S3">
        <f>HYPERLINK("https://klasma.github.io/Logging_0127/artfynd/A 48514-2025 artfynd.xlsx", "A 48514-2025")</f>
        <v/>
      </c>
      <c r="T3">
        <f>HYPERLINK("https://klasma.github.io/Logging_0127/kartor/A 48514-2025 karta.png", "A 48514-2025")</f>
        <v/>
      </c>
      <c r="V3">
        <f>HYPERLINK("https://klasma.github.io/Logging_0127/klagomål/A 48514-2025 FSC-klagomål.docx", "A 48514-2025")</f>
        <v/>
      </c>
      <c r="W3">
        <f>HYPERLINK("https://klasma.github.io/Logging_0127/klagomålsmail/A 48514-2025 FSC-klagomål mail.docx", "A 48514-2025")</f>
        <v/>
      </c>
      <c r="X3">
        <f>HYPERLINK("https://klasma.github.io/Logging_0127/tillsyn/A 48514-2025 tillsynsbegäran.docx", "A 48514-2025")</f>
        <v/>
      </c>
      <c r="Y3">
        <f>HYPERLINK("https://klasma.github.io/Logging_0127/tillsynsmail/A 48514-2025 tillsynsbegäran mail.docx", "A 48514-2025")</f>
        <v/>
      </c>
      <c r="Z3">
        <f>HYPERLINK("https://klasma.github.io/Logging_0127/fåglar/A 48514-2025 prioriterade fågelarter.docx", "A 48514-2025")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45985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Gulsparv
Nordfladdermus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45985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45985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45985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45985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45985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45985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45985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45985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33801-2025</t>
        </is>
      </c>
      <c r="B13" s="1" t="n">
        <v>45842</v>
      </c>
      <c r="C13" s="1" t="n">
        <v>45985</v>
      </c>
      <c r="D13" t="inlineStr">
        <is>
          <t>STOCKHOLMS LÄN</t>
        </is>
      </c>
      <c r="E13" t="inlineStr">
        <is>
          <t>BOTKYRKA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HYPERLINK("https://klasma.github.io/Logging_0127/artfynd/A 33801-2025 artfynd.xlsx", "A 33801-2025")</f>
        <v/>
      </c>
      <c r="T13">
        <f>HYPERLINK("https://klasma.github.io/Logging_0127/kartor/A 33801-2025 karta.png", "A 33801-2025")</f>
        <v/>
      </c>
      <c r="V13">
        <f>HYPERLINK("https://klasma.github.io/Logging_0127/klagomål/A 33801-2025 FSC-klagomål.docx", "A 33801-2025")</f>
        <v/>
      </c>
      <c r="W13">
        <f>HYPERLINK("https://klasma.github.io/Logging_0127/klagomålsmail/A 33801-2025 FSC-klagomål mail.docx", "A 33801-2025")</f>
        <v/>
      </c>
      <c r="X13">
        <f>HYPERLINK("https://klasma.github.io/Logging_0127/tillsyn/A 33801-2025 tillsynsbegäran.docx", "A 33801-2025")</f>
        <v/>
      </c>
      <c r="Y13">
        <f>HYPERLINK("https://klasma.github.io/Logging_0127/tillsynsmail/A 33801-2025 tillsynsbegäran mail.docx", "A 33801-2025")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45985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23829-2023</t>
        </is>
      </c>
      <c r="B15" s="1" t="n">
        <v>45078</v>
      </c>
      <c r="C15" s="1" t="n">
        <v>45985</v>
      </c>
      <c r="D15" t="inlineStr">
        <is>
          <t>STOCKHOLMS LÄN</t>
        </is>
      </c>
      <c r="E15" t="inlineStr">
        <is>
          <t>BOTKYRKA</t>
        </is>
      </c>
      <c r="F15" t="inlineStr">
        <is>
          <t>Kommuner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Fjällig taggsvamp s.str.</t>
        </is>
      </c>
      <c r="S15">
        <f>HYPERLINK("https://klasma.github.io/Logging_0127/artfynd/A 23829-2023 artfynd.xlsx", "A 23829-2023")</f>
        <v/>
      </c>
      <c r="T15">
        <f>HYPERLINK("https://klasma.github.io/Logging_0127/kartor/A 23829-2023 karta.png", "A 23829-2023")</f>
        <v/>
      </c>
      <c r="V15">
        <f>HYPERLINK("https://klasma.github.io/Logging_0127/klagomål/A 23829-2023 FSC-klagomål.docx", "A 23829-2023")</f>
        <v/>
      </c>
      <c r="W15">
        <f>HYPERLINK("https://klasma.github.io/Logging_0127/klagomålsmail/A 23829-2023 FSC-klagomål mail.docx", "A 23829-2023")</f>
        <v/>
      </c>
      <c r="X15">
        <f>HYPERLINK("https://klasma.github.io/Logging_0127/tillsyn/A 23829-2023 tillsynsbegäran.docx", "A 23829-2023")</f>
        <v/>
      </c>
      <c r="Y15">
        <f>HYPERLINK("https://klasma.github.io/Logging_0127/tillsynsmail/A 23829-2023 tillsynsbegäran mail.docx", "A 23829-2023")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45985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3726-2022</t>
        </is>
      </c>
      <c r="B17" s="1" t="n">
        <v>44586</v>
      </c>
      <c r="C17" s="1" t="n">
        <v>45985</v>
      </c>
      <c r="D17" t="inlineStr">
        <is>
          <t>STOCKHOLMS LÄN</t>
        </is>
      </c>
      <c r="E17" t="inlineStr">
        <is>
          <t>BOTKYRKA</t>
        </is>
      </c>
      <c r="G17" t="n">
        <v>17.1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HYPERLINK("https://klasma.github.io/Logging_0127/artfynd/A 3726-2022 artfynd.xlsx", "A 3726-2022")</f>
        <v/>
      </c>
      <c r="T17">
        <f>HYPERLINK("https://klasma.github.io/Logging_0127/kartor/A 3726-2022 karta.png", "A 3726-2022")</f>
        <v/>
      </c>
      <c r="V17">
        <f>HYPERLINK("https://klasma.github.io/Logging_0127/klagomål/A 3726-2022 FSC-klagomål.docx", "A 3726-2022")</f>
        <v/>
      </c>
      <c r="W17">
        <f>HYPERLINK("https://klasma.github.io/Logging_0127/klagomålsmail/A 3726-2022 FSC-klagomål mail.docx", "A 3726-2022")</f>
        <v/>
      </c>
      <c r="X17">
        <f>HYPERLINK("https://klasma.github.io/Logging_0127/tillsyn/A 3726-2022 tillsynsbegäran.docx", "A 3726-2022")</f>
        <v/>
      </c>
      <c r="Y17">
        <f>HYPERLINK("https://klasma.github.io/Logging_0127/tillsynsmail/A 3726-2022 tillsynsbegäran mail.docx", "A 3726-2022")</f>
        <v/>
      </c>
    </row>
    <row r="18" ht="15" customHeight="1">
      <c r="A18" t="inlineStr">
        <is>
          <t>A 18100-2022</t>
        </is>
      </c>
      <c r="B18" s="1" t="n">
        <v>44684</v>
      </c>
      <c r="C18" s="1" t="n">
        <v>45985</v>
      </c>
      <c r="D18" t="inlineStr">
        <is>
          <t>STOCKHOLMS LÄN</t>
        </is>
      </c>
      <c r="E18" t="inlineStr">
        <is>
          <t>BOTKYRKA</t>
        </is>
      </c>
      <c r="G18" t="n">
        <v>3.1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HYPERLINK("https://klasma.github.io/Logging_0127/artfynd/A 18100-2022 artfynd.xlsx", "A 18100-2022")</f>
        <v/>
      </c>
      <c r="T18">
        <f>HYPERLINK("https://klasma.github.io/Logging_0127/kartor/A 18100-2022 karta.png", "A 18100-2022")</f>
        <v/>
      </c>
      <c r="V18">
        <f>HYPERLINK("https://klasma.github.io/Logging_0127/klagomål/A 18100-2022 FSC-klagomål.docx", "A 18100-2022")</f>
        <v/>
      </c>
      <c r="W18">
        <f>HYPERLINK("https://klasma.github.io/Logging_0127/klagomålsmail/A 18100-2022 FSC-klagomål mail.docx", "A 18100-2022")</f>
        <v/>
      </c>
      <c r="X18">
        <f>HYPERLINK("https://klasma.github.io/Logging_0127/tillsyn/A 18100-2022 tillsynsbegäran.docx", "A 18100-2022")</f>
        <v/>
      </c>
      <c r="Y18">
        <f>HYPERLINK("https://klasma.github.io/Logging_0127/tillsynsmail/A 18100-2022 tillsynsbegäran mail.docx", "A 18100-2022")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45985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45985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45985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45985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45985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45985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45985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45985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45985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45985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45985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35492-2021</t>
        </is>
      </c>
      <c r="B30" s="1" t="n">
        <v>44385</v>
      </c>
      <c r="C30" s="1" t="n">
        <v>45985</v>
      </c>
      <c r="D30" t="inlineStr">
        <is>
          <t>STOCKHOLMS LÄN</t>
        </is>
      </c>
      <c r="E30" t="inlineStr">
        <is>
          <t>BOTKYRKA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45985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45985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16145-2024</t>
        </is>
      </c>
      <c r="B33" s="1" t="n">
        <v>45406.56561342593</v>
      </c>
      <c r="C33" s="1" t="n">
        <v>45985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45985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11876-2024</t>
        </is>
      </c>
      <c r="B35" s="1" t="n">
        <v>45376.47072916666</v>
      </c>
      <c r="C35" s="1" t="n">
        <v>45985</v>
      </c>
      <c r="D35" t="inlineStr">
        <is>
          <t>STOCKHOLMS LÄN</t>
        </is>
      </c>
      <c r="E35" t="inlineStr">
        <is>
          <t>BOTKYRKA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45985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16142-2024</t>
        </is>
      </c>
      <c r="B37" s="1" t="n">
        <v>45406</v>
      </c>
      <c r="C37" s="1" t="n">
        <v>45985</v>
      </c>
      <c r="D37" t="inlineStr">
        <is>
          <t>STOCKHOLMS LÄN</t>
        </is>
      </c>
      <c r="E37" t="inlineStr">
        <is>
          <t>BOTKYRKA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45985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45985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45985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50474-2025</t>
        </is>
      </c>
      <c r="B41" s="1" t="n">
        <v>45945.36526620371</v>
      </c>
      <c r="C41" s="1" t="n">
        <v>45985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73155-2021</t>
        </is>
      </c>
      <c r="B42" s="1" t="n">
        <v>44550</v>
      </c>
      <c r="C42" s="1" t="n">
        <v>45985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30378-2024</t>
        </is>
      </c>
      <c r="B43" s="1" t="n">
        <v>45491</v>
      </c>
      <c r="C43" s="1" t="n">
        <v>45985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177-2021</t>
        </is>
      </c>
      <c r="B44" s="1" t="n">
        <v>44200</v>
      </c>
      <c r="C44" s="1" t="n">
        <v>45985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45985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45985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15692-2023</t>
        </is>
      </c>
      <c r="B47" s="1" t="n">
        <v>45020</v>
      </c>
      <c r="C47" s="1" t="n">
        <v>45985</v>
      </c>
      <c r="D47" t="inlineStr">
        <is>
          <t>STOCKHOLMS LÄN</t>
        </is>
      </c>
      <c r="E47" t="inlineStr">
        <is>
          <t>BOTKYRKA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45985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45985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45985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45985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45985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45985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45985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45985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45985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45985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45985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45985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45985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45985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45985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45985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3686-2022</t>
        </is>
      </c>
      <c r="B64" s="1" t="n">
        <v>44586.57239583333</v>
      </c>
      <c r="C64" s="1" t="n">
        <v>45985</v>
      </c>
      <c r="D64" t="inlineStr">
        <is>
          <t>STOCKHOLMS LÄN</t>
        </is>
      </c>
      <c r="E64" t="inlineStr">
        <is>
          <t>BOTKYRKA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45985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9032-2023</t>
        </is>
      </c>
      <c r="B66" s="1" t="n">
        <v>44979</v>
      </c>
      <c r="C66" s="1" t="n">
        <v>45985</v>
      </c>
      <c r="D66" t="inlineStr">
        <is>
          <t>STOCKHOLMS LÄN</t>
        </is>
      </c>
      <c r="E66" t="inlineStr">
        <is>
          <t>BOTKYRKA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25217-2024</t>
        </is>
      </c>
      <c r="B67" s="1" t="n">
        <v>45462</v>
      </c>
      <c r="C67" s="1" t="n">
        <v>45985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16483-2023</t>
        </is>
      </c>
      <c r="B68" s="1" t="n">
        <v>45029</v>
      </c>
      <c r="C68" s="1" t="n">
        <v>45985</v>
      </c>
      <c r="D68" t="inlineStr">
        <is>
          <t>STOCKHOLMS LÄN</t>
        </is>
      </c>
      <c r="E68" t="inlineStr">
        <is>
          <t>BOTKYRKA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45985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61320-2024</t>
        </is>
      </c>
      <c r="B70" s="1" t="n">
        <v>45646.33262731481</v>
      </c>
      <c r="C70" s="1" t="n">
        <v>45985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30925-2023</t>
        </is>
      </c>
      <c r="B71" s="1" t="n">
        <v>45113</v>
      </c>
      <c r="C71" s="1" t="n">
        <v>45985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45869-2022</t>
        </is>
      </c>
      <c r="B72" s="1" t="n">
        <v>44844</v>
      </c>
      <c r="C72" s="1" t="n">
        <v>45985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14217-2025</t>
        </is>
      </c>
      <c r="B73" s="1" t="n">
        <v>45740.58534722222</v>
      </c>
      <c r="C73" s="1" t="n">
        <v>45985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61242-2022</t>
        </is>
      </c>
      <c r="B74" s="1" t="n">
        <v>44915</v>
      </c>
      <c r="C74" s="1" t="n">
        <v>45985</v>
      </c>
      <c r="D74" t="inlineStr">
        <is>
          <t>STOCKHOLMS LÄN</t>
        </is>
      </c>
      <c r="E74" t="inlineStr">
        <is>
          <t>BOTKYRKA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2025-11-24T10:20:18Z</dcterms:created>
  <dcterms:modified xmlns:dcterms="http://purl.org/dc/terms/" xmlns:xsi="http://www.w3.org/2001/XMLSchema-instance" xsi:type="dcterms:W3CDTF">2025-11-24T10:20:18Z</dcterms:modified>
</cp:coreProperties>
</file>