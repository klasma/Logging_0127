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46239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46239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46239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46239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46239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46239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46239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46239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46239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46239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46239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46239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46239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46239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46239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46239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46239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46239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46239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46239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46239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46239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46239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46239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HYPERLINK("https://klasma.github.io/Logging_0127/artfynd/A 12305-2026 artfynd.xlsx", "A 12305-2026")</f>
        <v/>
      </c>
      <c r="X29">
        <f>HYPERLINK("https://klasma.github.io/Logging_0127/kartor/A 12305-2026 karta.png", "A 12305-2026")</f>
        <v/>
      </c>
      <c r="Y29">
        <f>HYPERLINK("https://klasma.github.io/Logging_0127/kartor_geotiff/A 12305-2026 georefererad karta.tif", "A 12305-2026")</f>
        <v/>
      </c>
      <c r="AA29">
        <f>HYPERLINK("https://klasma.github.io/Logging_0127/klagomål/A 12305-2026 FSC-klagomål.docx", "A 12305-2026")</f>
        <v/>
      </c>
      <c r="AB29">
        <f>HYPERLINK("https://klasma.github.io/Logging_0127/klagomålsmail/A 12305-2026 FSC-klagomål mail.docx", "A 12305-2026")</f>
        <v/>
      </c>
      <c r="AC29">
        <f>HYPERLINK("https://klasma.github.io/Logging_0127/tillsyn/A 12305-2026 tillsynsbegäran.docx", "A 12305-2026")</f>
        <v/>
      </c>
      <c r="AD29">
        <f>HYPERLINK("https://klasma.github.io/Logging_0127/tillsynsmail/A 12305-2026 tillsynsbegäran mail.docx", "A 12305-2026")</f>
        <v/>
      </c>
      <c r="AE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46239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hackspett</t>
        </is>
      </c>
      <c r="W30">
        <f>HYPERLINK("https://klasma.github.io/Logging_0127/artfynd/A 12590-2026 artfynd.xlsx", "A 12590-2026")</f>
        <v/>
      </c>
      <c r="X30">
        <f>HYPERLINK("https://klasma.github.io/Logging_0127/kartor/A 12590-2026 karta.png", "A 12590-2026")</f>
        <v/>
      </c>
      <c r="Y30">
        <f>HYPERLINK("https://klasma.github.io/Logging_0127/kartor_geotiff/A 12590-2026 georefererad karta.tif", "A 12590-2026")</f>
        <v/>
      </c>
      <c r="AA30">
        <f>HYPERLINK("https://klasma.github.io/Logging_0127/klagomål/A 12590-2026 FSC-klagomål.docx", "A 12590-2026")</f>
        <v/>
      </c>
      <c r="AB30">
        <f>HYPERLINK("https://klasma.github.io/Logging_0127/klagomålsmail/A 12590-2026 FSC-klagomål mail.docx", "A 12590-2026")</f>
        <v/>
      </c>
      <c r="AC30">
        <f>HYPERLINK("https://klasma.github.io/Logging_0127/tillsyn/A 12590-2026 tillsynsbegäran.docx", "A 12590-2026")</f>
        <v/>
      </c>
      <c r="AD30">
        <f>HYPERLINK("https://klasma.github.io/Logging_0127/tillsynsmail/A 12590-2026 tillsynsbegäran mail.docx", "A 12590-2026")</f>
        <v/>
      </c>
      <c r="AE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46239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Fyrflikig jordstjärna</t>
        </is>
      </c>
      <c r="W31">
        <f>HYPERLINK("https://klasma.github.io/Logging_0127/artfynd/A 12842-2026 artfynd.xlsx", "A 12842-2026")</f>
        <v/>
      </c>
      <c r="X31">
        <f>HYPERLINK("https://klasma.github.io/Logging_0127/kartor/A 12842-2026 karta.png", "A 12842-2026")</f>
        <v/>
      </c>
      <c r="Y31">
        <f>HYPERLINK("https://klasma.github.io/Logging_0127/kartor_geotiff/A 12842-2026 georefererad karta.tif", "A 12842-2026")</f>
        <v/>
      </c>
      <c r="AA31">
        <f>HYPERLINK("https://klasma.github.io/Logging_0127/klagomål/A 12842-2026 FSC-klagomål.docx", "A 12842-2026")</f>
        <v/>
      </c>
      <c r="AB31">
        <f>HYPERLINK("https://klasma.github.io/Logging_0127/klagomålsmail/A 12842-2026 FSC-klagomål mail.docx", "A 12842-2026")</f>
        <v/>
      </c>
      <c r="AC31">
        <f>HYPERLINK("https://klasma.github.io/Logging_0127/tillsyn/A 12842-2026 tillsynsbegäran.docx", "A 12842-2026")</f>
        <v/>
      </c>
      <c r="AD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46239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HYPERLINK("https://klasma.github.io/Logging_0127/artfynd/A 1691-2023 artfynd.xlsx", "A 1691-2023")</f>
        <v/>
      </c>
      <c r="X32">
        <f>HYPERLINK("https://klasma.github.io/Logging_0127/kartor/A 1691-2023 karta.png", "A 1691-2023")</f>
        <v/>
      </c>
      <c r="Y32">
        <f>HYPERLINK("https://klasma.github.io/Logging_0127/kartor_geotiff/A 1691-2023 georefererad karta.tif", "A 1691-2023")</f>
        <v/>
      </c>
      <c r="AA32">
        <f>HYPERLINK("https://klasma.github.io/Logging_0127/klagomål/A 1691-2023 FSC-klagomål.docx", "A 1691-2023")</f>
        <v/>
      </c>
      <c r="AB32">
        <f>HYPERLINK("https://klasma.github.io/Logging_0127/klagomålsmail/A 1691-2023 FSC-klagomål mail.docx", "A 1691-2023")</f>
        <v/>
      </c>
      <c r="AC32">
        <f>HYPERLINK("https://klasma.github.io/Logging_0127/tillsyn/A 1691-2023 tillsynsbegäran.docx", "A 1691-2023")</f>
        <v/>
      </c>
      <c r="AD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46239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Blomkålssvamp</t>
        </is>
      </c>
      <c r="W33">
        <f>HYPERLINK("https://klasma.github.io/Logging_0127/artfynd/A 3726-2022 artfynd.xlsx", "A 3726-2022")</f>
        <v/>
      </c>
      <c r="X33">
        <f>HYPERLINK("https://klasma.github.io/Logging_0127/kartor/A 3726-2022 karta.png", "A 3726-2022")</f>
        <v/>
      </c>
      <c r="Y33">
        <f>HYPERLINK("https://klasma.github.io/Logging_0127/kartor_geotiff/A 3726-2022 georefererad karta.tif", "A 3726-2022")</f>
        <v/>
      </c>
      <c r="AA33">
        <f>HYPERLINK("https://klasma.github.io/Logging_0127/klagomål/A 3726-2022 FSC-klagomål.docx", "A 3726-2022")</f>
        <v/>
      </c>
      <c r="AB33">
        <f>HYPERLINK("https://klasma.github.io/Logging_0127/klagomålsmail/A 3726-2022 FSC-klagomål mail.docx", "A 3726-2022")</f>
        <v/>
      </c>
      <c r="AC33">
        <f>HYPERLINK("https://klasma.github.io/Logging_0127/tillsyn/A 3726-2022 tillsynsbegäran.docx", "A 3726-2022")</f>
        <v/>
      </c>
      <c r="AD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46239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Gullpudra</t>
        </is>
      </c>
      <c r="W34">
        <f>HYPERLINK("https://klasma.github.io/Logging_0127/artfynd/A 15690-2023 artfynd.xlsx", "A 15690-2023")</f>
        <v/>
      </c>
      <c r="X34">
        <f>HYPERLINK("https://klasma.github.io/Logging_0127/kartor/A 15690-2023 karta.png", "A 15690-2023")</f>
        <v/>
      </c>
      <c r="Y34">
        <f>HYPERLINK("https://klasma.github.io/Logging_0127/kartor_geotiff/A 15690-2023 georefererad karta.tif", "A 15690-2023")</f>
        <v/>
      </c>
      <c r="AA34">
        <f>HYPERLINK("https://klasma.github.io/Logging_0127/klagomål/A 15690-2023 FSC-klagomål.docx", "A 15690-2023")</f>
        <v/>
      </c>
      <c r="AB34">
        <f>HYPERLINK("https://klasma.github.io/Logging_0127/klagomålsmail/A 15690-2023 FSC-klagomål mail.docx", "A 15690-2023")</f>
        <v/>
      </c>
      <c r="AC34">
        <f>HYPERLINK("https://klasma.github.io/Logging_0127/tillsyn/A 15690-2023 tillsynsbegäran.docx", "A 15690-2023")</f>
        <v/>
      </c>
      <c r="AD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46239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46239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46239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46239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46239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44599</v>
      </c>
      <c r="E41" s="1" t="n">
        <v>46239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8528-2024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45355</v>
      </c>
      <c r="E42" s="1" t="n">
        <v>46239</v>
      </c>
      <c r="F42" t="inlineStr">
        <is>
          <t>STOCKHOLMS LÄN</t>
        </is>
      </c>
      <c r="G42" t="inlineStr">
        <is>
          <t>BOTKYRKA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46239</v>
      </c>
      <c r="F43" t="inlineStr">
        <is>
          <t>STOCKHOLMS LÄN</t>
        </is>
      </c>
      <c r="G43" t="inlineStr">
        <is>
          <t>BOTKYRKA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48656-2022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46239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46239</v>
      </c>
      <c r="F45" t="inlineStr">
        <is>
          <t>STOCKHOLMS LÄN</t>
        </is>
      </c>
      <c r="G45" t="inlineStr">
        <is>
          <t>BOTKYRKA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46239</v>
      </c>
      <c r="F46" t="inlineStr">
        <is>
          <t>STOCKHOLMS LÄN</t>
        </is>
      </c>
      <c r="G46" t="inlineStr">
        <is>
          <t>BOTKYRKA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46239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9032-2023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46239</v>
      </c>
      <c r="F48" t="inlineStr">
        <is>
          <t>STOCKHOLMS LÄN</t>
        </is>
      </c>
      <c r="G48" t="inlineStr">
        <is>
          <t>BOTKYRKA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46239</v>
      </c>
      <c r="F49" t="inlineStr">
        <is>
          <t>STOCKHOLMS LÄN</t>
        </is>
      </c>
      <c r="G49" t="inlineStr">
        <is>
          <t>BOTKYRKA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25217-2024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45462</v>
      </c>
      <c r="E50" s="1" t="n">
        <v>46239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46239</v>
      </c>
      <c r="F51" t="inlineStr">
        <is>
          <t>STOCKHOLMS LÄN</t>
        </is>
      </c>
      <c r="G51" t="inlineStr">
        <is>
          <t>BOTKYRKA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73155-2021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46239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30622-2024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45495</v>
      </c>
      <c r="E53" s="1" t="n">
        <v>46239</v>
      </c>
      <c r="F53" t="inlineStr">
        <is>
          <t>STOCKHOLMS LÄN</t>
        </is>
      </c>
      <c r="G53" t="inlineStr">
        <is>
          <t>BOTKYRKA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30925-2023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45113</v>
      </c>
      <c r="E54" s="1" t="n">
        <v>46239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45869-2022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44844</v>
      </c>
      <c r="E55" s="1" t="n">
        <v>46239</v>
      </c>
      <c r="F55" t="inlineStr">
        <is>
          <t>STOCKHOLMS LÄN</t>
        </is>
      </c>
      <c r="G55" t="inlineStr">
        <is>
          <t>BOTKYRKA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46239</v>
      </c>
      <c r="F56" t="inlineStr">
        <is>
          <t>STOCKHOLMS LÄN</t>
        </is>
      </c>
      <c r="G56" t="inlineStr">
        <is>
          <t>BOTKYRKA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45020</v>
      </c>
      <c r="E57" s="1" t="n">
        <v>46239</v>
      </c>
      <c r="F57" t="inlineStr">
        <is>
          <t>STOCKHOLMS LÄN</t>
        </is>
      </c>
      <c r="G57" t="inlineStr">
        <is>
          <t>BOTKYRKA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21285-2023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45062</v>
      </c>
      <c r="E58" s="1" t="n">
        <v>46239</v>
      </c>
      <c r="F58" t="inlineStr">
        <is>
          <t>STOCKHOLMS LÄN</t>
        </is>
      </c>
      <c r="G58" t="inlineStr">
        <is>
          <t>BOTKYRKA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46239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45376</v>
      </c>
      <c r="E60" s="1" t="n">
        <v>46239</v>
      </c>
      <c r="F60" t="inlineStr">
        <is>
          <t>STOCKHOLMS LÄN</t>
        </is>
      </c>
      <c r="G60" t="inlineStr">
        <is>
          <t>BOTKYRKA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45406</v>
      </c>
      <c r="E61" s="1" t="n">
        <v>46239</v>
      </c>
      <c r="F61" t="inlineStr">
        <is>
          <t>STOCKHOLMS LÄN</t>
        </is>
      </c>
      <c r="G61" t="inlineStr">
        <is>
          <t>BOTKYRKA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45965</v>
      </c>
      <c r="E62" s="1" t="n">
        <v>46239</v>
      </c>
      <c r="F62" t="inlineStr">
        <is>
          <t>STOCKHOLMS LÄN</t>
        </is>
      </c>
      <c r="G62" t="inlineStr">
        <is>
          <t>BOTKYRKA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46239</v>
      </c>
      <c r="F63" t="inlineStr">
        <is>
          <t>STOCKHOLMS LÄN</t>
        </is>
      </c>
      <c r="G63" t="inlineStr">
        <is>
          <t>BOTKYRKA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46239</v>
      </c>
      <c r="F64" t="inlineStr">
        <is>
          <t>STOCKHOLMS LÄN</t>
        </is>
      </c>
      <c r="G64" t="inlineStr">
        <is>
          <t>BOTKYRKA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46239</v>
      </c>
      <c r="F65" t="inlineStr">
        <is>
          <t>STOCKHOLMS LÄN</t>
        </is>
      </c>
      <c r="G65" t="inlineStr">
        <is>
          <t>BOTKYRKA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46239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45376</v>
      </c>
      <c r="E67" s="1" t="n">
        <v>46239</v>
      </c>
      <c r="F67" t="inlineStr">
        <is>
          <t>STOCKHOLMS LÄN</t>
        </is>
      </c>
      <c r="G67" t="inlineStr">
        <is>
          <t>BOTKYRKA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27717-2026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46190</v>
      </c>
      <c r="E68" s="1" t="n">
        <v>46239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73151-2021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46239</v>
      </c>
      <c r="F69" t="inlineStr">
        <is>
          <t>STOCKHOLMS LÄN</t>
        </is>
      </c>
      <c r="G69" t="inlineStr">
        <is>
          <t>BOTKYRKA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73194-2021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46239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46087</v>
      </c>
      <c r="E71" s="1" t="n">
        <v>46239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46087</v>
      </c>
      <c r="E72" s="1" t="n">
        <v>46239</v>
      </c>
      <c r="F72" t="inlineStr">
        <is>
          <t>STOCKHOLMS LÄN</t>
        </is>
      </c>
      <c r="G72" t="inlineStr">
        <is>
          <t>BOTKYRKA</t>
        </is>
      </c>
      <c r="H72" t="inlineStr">
        <is>
          <t>Övriga Aktiebolag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46239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46239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2026-08-05T20:38:12Z</dcterms:created>
  <dcterms:modified xmlns:dcterms="http://purl.org/dc/terms/" xmlns:xsi="http://www.w3.org/2001/XMLSchema-instance" xsi:type="dcterms:W3CDTF">2026-08-05T20:38:12Z</dcterms:modified>
</cp:coreProperties>
</file>