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46253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46253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46253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46253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46253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46253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46253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46253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46253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46253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46253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46253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46253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46253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46253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46253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46253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46253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46253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46253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46253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46253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46253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46253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46253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46253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46253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46253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14214-2025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46253</v>
      </c>
      <c r="F31" t="inlineStr">
        <is>
          <t>STOCKHOLMS LÄN</t>
        </is>
      </c>
      <c r="G31" t="inlineStr">
        <is>
          <t>BOTKYRKA</t>
        </is>
      </c>
      <c r="I31" t="n">
        <v>2.5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Stare</t>
        </is>
      </c>
      <c r="W31">
        <f>HYPERLINK("https://klasma.github.io/Logging_0127/artfynd/A 14214-2025 artfynd.xlsx", "A 14214-2025")</f>
        <v/>
      </c>
      <c r="X31">
        <f>HYPERLINK("https://klasma.github.io/Logging_0127/kartor/A 14214-2025 karta.png", "A 14214-2025")</f>
        <v/>
      </c>
      <c r="Y31">
        <f>HYPERLINK("https://klasma.github.io/Logging_0127/kartor_geotiff/A 14214-2025 georefererad karta.tif", "A 14214-2025")</f>
        <v/>
      </c>
      <c r="AA31">
        <f>HYPERLINK("https://klasma.github.io/Logging_0127/klagomål/A 14214-2025 FSC-klagomål.docx", "A 14214-2025")</f>
        <v/>
      </c>
      <c r="AB31">
        <f>HYPERLINK("https://klasma.github.io/Logging_0127/klagomålsmail/A 14214-2025 FSC-klagomål mail.docx", "A 14214-2025")</f>
        <v/>
      </c>
      <c r="AC31">
        <f>HYPERLINK("https://klasma.github.io/Logging_0127/tillsyn/A 14214-2025 tillsynsbegäran.docx", "A 14214-2025")</f>
        <v/>
      </c>
      <c r="AD31">
        <f>HYPERLINK("https://klasma.github.io/Logging_0127/tillsynsmail/A 14214-2025 tillsynsbegäran mail.docx", "A 14214-2025")</f>
        <v/>
      </c>
      <c r="AE31">
        <f>HYPERLINK("https://klasma.github.io/Logging_0127/fåglar/A 14214-2025 prioriterade fågelarter.docx", "A 14214-2025")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46253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46253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46253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46253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46253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46253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46253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46253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46253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46253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46253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46253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46253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46253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45020</v>
      </c>
      <c r="E46" s="1" t="n">
        <v>46253</v>
      </c>
      <c r="F46" t="inlineStr">
        <is>
          <t>STOCKHOLMS LÄN</t>
        </is>
      </c>
      <c r="G46" t="inlineStr">
        <is>
          <t>BOTKYRKA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46253</v>
      </c>
      <c r="F47" t="inlineStr">
        <is>
          <t>STOCKHOLMS LÄN</t>
        </is>
      </c>
      <c r="G47" t="inlineStr">
        <is>
          <t>BOTKYRKA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12306-2026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46253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46087</v>
      </c>
      <c r="E49" s="1" t="n">
        <v>46253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45062</v>
      </c>
      <c r="E50" s="1" t="n">
        <v>46253</v>
      </c>
      <c r="F50" t="inlineStr">
        <is>
          <t>STOCKHOLMS LÄN</t>
        </is>
      </c>
      <c r="G50" t="inlineStr">
        <is>
          <t>BOTKYRKA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45678</v>
      </c>
      <c r="E51" s="1" t="n">
        <v>46253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46253</v>
      </c>
      <c r="F52" t="inlineStr">
        <is>
          <t>STOCKHOLMS LÄN</t>
        </is>
      </c>
      <c r="G52" t="inlineStr">
        <is>
          <t>BOTKYRKA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46253</v>
      </c>
      <c r="F53" t="inlineStr">
        <is>
          <t>STOCKHOLMS LÄN</t>
        </is>
      </c>
      <c r="G53" t="inlineStr">
        <is>
          <t>BOTKYRKA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46253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46253</v>
      </c>
      <c r="F55" t="inlineStr">
        <is>
          <t>STOCKHOLMS LÄN</t>
        </is>
      </c>
      <c r="G55" t="inlineStr">
        <is>
          <t>BOTKYRKA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46253</v>
      </c>
      <c r="F56" t="inlineStr">
        <is>
          <t>STOCKHOLMS LÄN</t>
        </is>
      </c>
      <c r="G56" t="inlineStr">
        <is>
          <t>BOTKYRKA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46253</v>
      </c>
      <c r="F57" t="inlineStr">
        <is>
          <t>STOCKHOLMS LÄN</t>
        </is>
      </c>
      <c r="G57" t="inlineStr">
        <is>
          <t>BOTKYRKA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46253</v>
      </c>
      <c r="F58" t="inlineStr">
        <is>
          <t>STOCKHOLMS LÄN</t>
        </is>
      </c>
      <c r="G58" t="inlineStr">
        <is>
          <t>BOTKYRKA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46253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44700</v>
      </c>
      <c r="E60" s="1" t="n">
        <v>46253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46253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6059-2022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44599</v>
      </c>
      <c r="E62" s="1" t="n">
        <v>46253</v>
      </c>
      <c r="F62" t="inlineStr">
        <is>
          <t>STOCKHOLMS LÄN</t>
        </is>
      </c>
      <c r="G62" t="inlineStr">
        <is>
          <t>BOTKYRKA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8528-2024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45355</v>
      </c>
      <c r="E63" s="1" t="n">
        <v>46253</v>
      </c>
      <c r="F63" t="inlineStr">
        <is>
          <t>STOCKHOLMS LÄN</t>
        </is>
      </c>
      <c r="G63" t="inlineStr">
        <is>
          <t>BOTKYRKA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46253</v>
      </c>
      <c r="F64" t="inlineStr">
        <is>
          <t>STOCKHOLMS LÄN</t>
        </is>
      </c>
      <c r="G64" t="inlineStr">
        <is>
          <t>BOTKYRKA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46253</v>
      </c>
      <c r="F65" t="inlineStr">
        <is>
          <t>STOCKHOLMS LÄN</t>
        </is>
      </c>
      <c r="G65" t="inlineStr">
        <is>
          <t>BOTKYRKA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46253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45029</v>
      </c>
      <c r="E67" s="1" t="n">
        <v>46253</v>
      </c>
      <c r="F67" t="inlineStr">
        <is>
          <t>STOCKHOLMS LÄN</t>
        </is>
      </c>
      <c r="G67" t="inlineStr">
        <is>
          <t>BOTKYRKA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46253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46253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46253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46253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46253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45406</v>
      </c>
      <c r="E73" s="1" t="n">
        <v>46253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46253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2026-08-19T01:50:17Z</dcterms:created>
  <dcterms:modified xmlns:dcterms="http://purl.org/dc/terms/" xmlns:xsi="http://www.w3.org/2001/XMLSchema-instance" xsi:type="dcterms:W3CDTF">2026-08-19T01:50:17Z</dcterms:modified>
</cp:coreProperties>
</file>