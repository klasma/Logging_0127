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46273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46273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46273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46273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46273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46273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46273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46273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46273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46273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46273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46273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46273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46273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46273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46273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24799-2026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46273</v>
      </c>
      <c r="F18" t="inlineStr">
        <is>
          <t>STOCKHOLMS LÄN</t>
        </is>
      </c>
      <c r="G18" t="inlineStr">
        <is>
          <t>BOTKYRKA</t>
        </is>
      </c>
      <c r="I18" t="n">
        <v>1.7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märgborre
Spillkråka</t>
        </is>
      </c>
      <c r="W18">
        <f>HYPERLINK("https://klasma.github.io/Logging_0127/artfynd/A 24799-2026 artfynd.xlsx", "A 24799-2026")</f>
        <v/>
      </c>
      <c r="X18">
        <f>HYPERLINK("https://klasma.github.io/Logging_0127/kartor/A 24799-2026 karta.png", "A 24799-2026")</f>
        <v/>
      </c>
      <c r="Y18">
        <f>HYPERLINK("https://klasma.github.io/Logging_0127/kartor_geotiff/A 24799-2026 georefererad karta.tif", "A 24799-2026")</f>
        <v/>
      </c>
      <c r="AA18">
        <f>HYPERLINK("https://klasma.github.io/Logging_0127/klagomål/A 24799-2026 FSC-klagomål.docx", "A 24799-2026")</f>
        <v/>
      </c>
      <c r="AB18">
        <f>HYPERLINK("https://klasma.github.io/Logging_0127/klagomålsmail/A 24799-2026 FSC-klagomål mail.docx", "A 24799-2026")</f>
        <v/>
      </c>
      <c r="AC18">
        <f>HYPERLINK("https://klasma.github.io/Logging_0127/tillsyn/A 24799-2026 tillsynsbegäran.docx", "A 24799-2026")</f>
        <v/>
      </c>
      <c r="AD18">
        <f>HYPERLINK("https://klasma.github.io/Logging_0127/tillsynsmail/A 24799-2026 tillsynsbegäran mail.docx", "A 24799-2026")</f>
        <v/>
      </c>
      <c r="AE18">
        <f>HYPERLINK("https://klasma.github.io/Logging_0127/fåglar/A 24799-2026 prioriterade fågelarter.docx", "A 24799-2026")</f>
        <v/>
      </c>
    </row>
    <row r="19" ht="15" customHeight="1">
      <c r="A19" t="inlineStr">
        <is>
          <t>A 25319-2026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46176</v>
      </c>
      <c r="E19" s="1" t="n">
        <v>46273</v>
      </c>
      <c r="F19" t="inlineStr">
        <is>
          <t>STOCKHOLMS LÄN</t>
        </is>
      </c>
      <c r="G19" t="inlineStr">
        <is>
          <t>BOTKYRKA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Grovticka
Spillkråka</t>
        </is>
      </c>
      <c r="W19">
        <f>HYPERLINK("https://klasma.github.io/Logging_0127/artfynd/A 25319-2026 artfynd.xlsx", "A 25319-2026")</f>
        <v/>
      </c>
      <c r="X19">
        <f>HYPERLINK("https://klasma.github.io/Logging_0127/kartor/A 25319-2026 karta.png", "A 25319-2026")</f>
        <v/>
      </c>
      <c r="Y19">
        <f>HYPERLINK("https://klasma.github.io/Logging_0127/kartor_geotiff/A 25319-2026 georefererad karta.tif", "A 25319-2026")</f>
        <v/>
      </c>
      <c r="AA19">
        <f>HYPERLINK("https://klasma.github.io/Logging_0127/klagomål/A 25319-2026 FSC-klagomål.docx", "A 25319-2026")</f>
        <v/>
      </c>
      <c r="AB19">
        <f>HYPERLINK("https://klasma.github.io/Logging_0127/klagomålsmail/A 25319-2026 FSC-klagomål mail.docx", "A 25319-2026")</f>
        <v/>
      </c>
      <c r="AC19">
        <f>HYPERLINK("https://klasma.github.io/Logging_0127/tillsyn/A 25319-2026 tillsynsbegäran.docx", "A 25319-2026")</f>
        <v/>
      </c>
      <c r="AD19">
        <f>HYPERLINK("https://klasma.github.io/Logging_0127/tillsynsmail/A 25319-2026 tillsynsbegäran mail.docx", "A 25319-2026")</f>
        <v/>
      </c>
      <c r="AE19">
        <f>HYPERLINK("https://klasma.github.io/Logging_0127/fåglar/A 25319-2026 prioriterade fågelarter.docx", "A 25319-2026")</f>
        <v/>
      </c>
    </row>
    <row r="20" ht="15" customHeight="1">
      <c r="A20" t="inlineStr">
        <is>
          <t>A 25315-2026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46273</v>
      </c>
      <c r="F20" t="inlineStr">
        <is>
          <t>STOCKHOLMS LÄN</t>
        </is>
      </c>
      <c r="G20" t="inlineStr">
        <is>
          <t>BOTKYRKA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Tofsmes</t>
        </is>
      </c>
      <c r="W20">
        <f>HYPERLINK("https://klasma.github.io/Logging_0127/artfynd/A 25315-2026 artfynd.xlsx", "A 25315-2026")</f>
        <v/>
      </c>
      <c r="X20">
        <f>HYPERLINK("https://klasma.github.io/Logging_0127/kartor/A 25315-2026 karta.png", "A 25315-2026")</f>
        <v/>
      </c>
      <c r="Y20">
        <f>HYPERLINK("https://klasma.github.io/Logging_0127/kartor_geotiff/A 25315-2026 georefererad karta.tif", "A 25315-2026")</f>
        <v/>
      </c>
      <c r="AA20">
        <f>HYPERLINK("https://klasma.github.io/Logging_0127/klagomål/A 25315-2026 FSC-klagomål.docx", "A 25315-2026")</f>
        <v/>
      </c>
      <c r="AB20">
        <f>HYPERLINK("https://klasma.github.io/Logging_0127/klagomålsmail/A 25315-2026 FSC-klagomål mail.docx", "A 25315-2026")</f>
        <v/>
      </c>
      <c r="AC20">
        <f>HYPERLINK("https://klasma.github.io/Logging_0127/tillsyn/A 25315-2026 tillsynsbegäran.docx", "A 25315-2026")</f>
        <v/>
      </c>
      <c r="AD20">
        <f>HYPERLINK("https://klasma.github.io/Logging_0127/tillsynsmail/A 25315-2026 tillsynsbegäran mail.docx", "A 25315-2026")</f>
        <v/>
      </c>
      <c r="AE20">
        <f>HYPERLINK("https://klasma.github.io/Logging_0127/fåglar/A 25315-2026 prioriterade fågelarter.docx", "A 25315-2026")</f>
        <v/>
      </c>
    </row>
    <row r="21" ht="15" customHeight="1">
      <c r="A21" t="inlineStr">
        <is>
          <t>A 60406-2025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45995</v>
      </c>
      <c r="E21" s="1" t="n">
        <v>46273</v>
      </c>
      <c r="F21" t="inlineStr">
        <is>
          <t>STOCKHOLMS LÄN</t>
        </is>
      </c>
      <c r="G21" t="inlineStr">
        <is>
          <t>BOTKYRKA</t>
        </is>
      </c>
      <c r="H21" t="inlineStr">
        <is>
          <t>Övriga Aktiebolag</t>
        </is>
      </c>
      <c r="I21" t="n">
        <v>2.3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Mindre märgborre</t>
        </is>
      </c>
      <c r="W21">
        <f>HYPERLINK("https://klasma.github.io/Logging_0127/artfynd/A 60406-2025 artfynd.xlsx", "A 60406-2025")</f>
        <v/>
      </c>
      <c r="X21">
        <f>HYPERLINK("https://klasma.github.io/Logging_0127/kartor/A 60406-2025 karta.png", "A 60406-2025")</f>
        <v/>
      </c>
      <c r="Y21">
        <f>HYPERLINK("https://klasma.github.io/Logging_0127/kartor_geotiff/A 60406-2025 georefererad karta.tif", "A 60406-2025")</f>
        <v/>
      </c>
      <c r="AA21">
        <f>HYPERLINK("https://klasma.github.io/Logging_0127/klagomål/A 60406-2025 FSC-klagomål.docx", "A 60406-2025")</f>
        <v/>
      </c>
      <c r="AB21">
        <f>HYPERLINK("https://klasma.github.io/Logging_0127/klagomålsmail/A 60406-2025 FSC-klagomål mail.docx", "A 60406-2025")</f>
        <v/>
      </c>
      <c r="AC21">
        <f>HYPERLINK("https://klasma.github.io/Logging_0127/tillsyn/A 60406-2025 tillsynsbegäran.docx", "A 60406-2025")</f>
        <v/>
      </c>
      <c r="AD21">
        <f>HYPERLINK("https://klasma.github.io/Logging_0127/tillsynsmail/A 60406-2025 tillsynsbegäran mail.docx", "A 60406-2025")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46273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46273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46273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46273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14214-2025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46273</v>
      </c>
      <c r="F26" t="inlineStr">
        <is>
          <t>STOCKHOLMS LÄN</t>
        </is>
      </c>
      <c r="G26" t="inlineStr">
        <is>
          <t>BOTKYRKA</t>
        </is>
      </c>
      <c r="I26" t="n">
        <v>2.5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Stare</t>
        </is>
      </c>
      <c r="W26">
        <f>HYPERLINK("https://klasma.github.io/Logging_0127/artfynd/A 14214-2025 artfynd.xlsx", "A 14214-2025")</f>
        <v/>
      </c>
      <c r="X26">
        <f>HYPERLINK("https://klasma.github.io/Logging_0127/kartor/A 14214-2025 karta.png", "A 14214-2025")</f>
        <v/>
      </c>
      <c r="Y26">
        <f>HYPERLINK("https://klasma.github.io/Logging_0127/kartor_geotiff/A 14214-2025 georefererad karta.tif", "A 14214-2025")</f>
        <v/>
      </c>
      <c r="AA26">
        <f>HYPERLINK("https://klasma.github.io/Logging_0127/klagomål/A 14214-2025 FSC-klagomål.docx", "A 14214-2025")</f>
        <v/>
      </c>
      <c r="AB26">
        <f>HYPERLINK("https://klasma.github.io/Logging_0127/klagomålsmail/A 14214-2025 FSC-klagomål mail.docx", "A 14214-2025")</f>
        <v/>
      </c>
      <c r="AC26">
        <f>HYPERLINK("https://klasma.github.io/Logging_0127/tillsyn/A 14214-2025 tillsynsbegäran.docx", "A 14214-2025")</f>
        <v/>
      </c>
      <c r="AD26">
        <f>HYPERLINK("https://klasma.github.io/Logging_0127/tillsynsmail/A 14214-2025 tillsynsbegäran mail.docx", "A 14214-2025")</f>
        <v/>
      </c>
      <c r="AE26">
        <f>HYPERLINK("https://klasma.github.io/Logging_0127/fåglar/A 14214-2025 prioriterade fågelarter.docx", "A 14214-2025")</f>
        <v/>
      </c>
    </row>
    <row r="27" ht="15" customHeight="1">
      <c r="A27" t="inlineStr">
        <is>
          <t>A 1691-2023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44938</v>
      </c>
      <c r="E27" s="1" t="n">
        <v>46273</v>
      </c>
      <c r="F27" t="inlineStr">
        <is>
          <t>STOCKHOLMS LÄN</t>
        </is>
      </c>
      <c r="G27" t="inlineStr">
        <is>
          <t>BOTKYRKA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HYPERLINK("https://klasma.github.io/Logging_0127/artfynd/A 1691-2023 artfynd.xlsx", "A 1691-2023")</f>
        <v/>
      </c>
      <c r="X27">
        <f>HYPERLINK("https://klasma.github.io/Logging_0127/kartor/A 1691-2023 karta.png", "A 1691-2023")</f>
        <v/>
      </c>
      <c r="Y27">
        <f>HYPERLINK("https://klasma.github.io/Logging_0127/kartor_geotiff/A 1691-2023 georefererad karta.tif", "A 1691-2023")</f>
        <v/>
      </c>
      <c r="AA27">
        <f>HYPERLINK("https://klasma.github.io/Logging_0127/klagomål/A 1691-2023 FSC-klagomål.docx", "A 1691-2023")</f>
        <v/>
      </c>
      <c r="AB27">
        <f>HYPERLINK("https://klasma.github.io/Logging_0127/klagomålsmail/A 1691-2023 FSC-klagomål mail.docx", "A 1691-2023")</f>
        <v/>
      </c>
      <c r="AC27">
        <f>HYPERLINK("https://klasma.github.io/Logging_0127/tillsyn/A 1691-2023 tillsynsbegäran.docx", "A 1691-2023")</f>
        <v/>
      </c>
      <c r="AD27">
        <f>HYPERLINK("https://klasma.github.io/Logging_0127/tillsynsmail/A 1691-2023 tillsynsbegäran mail.docx", "A 1691-2023")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46273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15690-2023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45020</v>
      </c>
      <c r="E29" s="1" t="n">
        <v>46273</v>
      </c>
      <c r="F29" t="inlineStr">
        <is>
          <t>STOCKHOLMS LÄN</t>
        </is>
      </c>
      <c r="G29" t="inlineStr">
        <is>
          <t>BOTKYRKA</t>
        </is>
      </c>
      <c r="I29" t="n">
        <v>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HYPERLINK("https://klasma.github.io/Logging_0127/artfynd/A 15690-2023 artfynd.xlsx", "A 15690-2023")</f>
        <v/>
      </c>
      <c r="X29">
        <f>HYPERLINK("https://klasma.github.io/Logging_0127/kartor/A 15690-2023 karta.png", "A 15690-2023")</f>
        <v/>
      </c>
      <c r="Y29">
        <f>HYPERLINK("https://klasma.github.io/Logging_0127/kartor_geotiff/A 15690-2023 georefererad karta.tif", "A 15690-2023")</f>
        <v/>
      </c>
      <c r="AA29">
        <f>HYPERLINK("https://klasma.github.io/Logging_0127/klagomål/A 15690-2023 FSC-klagomål.docx", "A 15690-2023")</f>
        <v/>
      </c>
      <c r="AB29">
        <f>HYPERLINK("https://klasma.github.io/Logging_0127/klagomålsmail/A 15690-2023 FSC-klagomål mail.docx", "A 15690-2023")</f>
        <v/>
      </c>
      <c r="AC29">
        <f>HYPERLINK("https://klasma.github.io/Logging_0127/tillsyn/A 15690-2023 tillsynsbegäran.docx", "A 15690-2023")</f>
        <v/>
      </c>
      <c r="AD29">
        <f>HYPERLINK("https://klasma.github.io/Logging_0127/tillsynsmail/A 15690-2023 tillsynsbegäran mail.docx", "A 15690-2023")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46273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46273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46273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46273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46273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46273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46273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46273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46273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46273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46273</v>
      </c>
      <c r="F40" t="inlineStr">
        <is>
          <t>STOCKHOLMS LÄN</t>
        </is>
      </c>
      <c r="G40" t="inlineStr">
        <is>
          <t>BOTKYRKA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46273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46273</v>
      </c>
      <c r="F42" t="inlineStr">
        <is>
          <t>STOCKHOLMS LÄN</t>
        </is>
      </c>
      <c r="G42" t="inlineStr">
        <is>
          <t>BOTKYRKA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46273</v>
      </c>
      <c r="F43" t="inlineStr">
        <is>
          <t>STOCKHOLMS LÄN</t>
        </is>
      </c>
      <c r="G43" t="inlineStr">
        <is>
          <t>BOTKYRKA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15692-2023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45020</v>
      </c>
      <c r="E44" s="1" t="n">
        <v>46273</v>
      </c>
      <c r="F44" t="inlineStr">
        <is>
          <t>STOCKHOLMS LÄN</t>
        </is>
      </c>
      <c r="G44" t="inlineStr">
        <is>
          <t>BOTKYRKA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46273</v>
      </c>
      <c r="F45" t="inlineStr">
        <is>
          <t>STOCKHOLMS LÄN</t>
        </is>
      </c>
      <c r="G45" t="inlineStr">
        <is>
          <t>BOTKYRKA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21285-2023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45062</v>
      </c>
      <c r="E46" s="1" t="n">
        <v>46273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45678</v>
      </c>
      <c r="E47" s="1" t="n">
        <v>46273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22391-2026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46154</v>
      </c>
      <c r="E48" s="1" t="n">
        <v>46273</v>
      </c>
      <c r="F48" t="inlineStr">
        <is>
          <t>STOCKHOLMS LÄN</t>
        </is>
      </c>
      <c r="G48" t="inlineStr">
        <is>
          <t>BOTKYRKA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11867-2024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45376</v>
      </c>
      <c r="E49" s="1" t="n">
        <v>46273</v>
      </c>
      <c r="F49" t="inlineStr">
        <is>
          <t>STOCKHOLMS LÄN</t>
        </is>
      </c>
      <c r="G49" t="inlineStr">
        <is>
          <t>BOTKYRKA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23725-2026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46164</v>
      </c>
      <c r="E50" s="1" t="n">
        <v>46273</v>
      </c>
      <c r="F50" t="inlineStr">
        <is>
          <t>STOCKHOLMS LÄN</t>
        </is>
      </c>
      <c r="G50" t="inlineStr">
        <is>
          <t>BOTKYRKA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23718-2026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46164</v>
      </c>
      <c r="E51" s="1" t="n">
        <v>46273</v>
      </c>
      <c r="F51" t="inlineStr">
        <is>
          <t>STOCKHOLMS LÄN</t>
        </is>
      </c>
      <c r="G51" t="inlineStr">
        <is>
          <t>BOTKYRKA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46164</v>
      </c>
      <c r="E52" s="1" t="n">
        <v>46273</v>
      </c>
      <c r="F52" t="inlineStr">
        <is>
          <t>STOCKHOLMS LÄN</t>
        </is>
      </c>
      <c r="G52" t="inlineStr">
        <is>
          <t>BOTKYRKA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45965</v>
      </c>
      <c r="E53" s="1" t="n">
        <v>46273</v>
      </c>
      <c r="F53" t="inlineStr">
        <is>
          <t>STOCKHOLMS LÄN</t>
        </is>
      </c>
      <c r="G53" t="inlineStr">
        <is>
          <t>BOTKYRKA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46273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46273</v>
      </c>
      <c r="F55" t="inlineStr">
        <is>
          <t>STOCKHOLMS LÄN</t>
        </is>
      </c>
      <c r="G55" t="inlineStr">
        <is>
          <t>BOTKYRKA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27717-2026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46190</v>
      </c>
      <c r="E56" s="1" t="n">
        <v>46273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46087</v>
      </c>
      <c r="E57" s="1" t="n">
        <v>46273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46087</v>
      </c>
      <c r="E58" s="1" t="n">
        <v>46273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44700</v>
      </c>
      <c r="E59" s="1" t="n">
        <v>46273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6059-2022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44599</v>
      </c>
      <c r="E60" s="1" t="n">
        <v>46273</v>
      </c>
      <c r="F60" t="inlineStr">
        <is>
          <t>STOCKHOLMS LÄN</t>
        </is>
      </c>
      <c r="G60" t="inlineStr">
        <is>
          <t>BOTKYRKA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46258</v>
      </c>
      <c r="E61" s="1" t="n">
        <v>46273</v>
      </c>
      <c r="F61" t="inlineStr">
        <is>
          <t>STOCKHOLMS LÄN</t>
        </is>
      </c>
      <c r="G61" t="inlineStr">
        <is>
          <t>BOTKYRKA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8528-2024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45355</v>
      </c>
      <c r="E62" s="1" t="n">
        <v>46273</v>
      </c>
      <c r="F62" t="inlineStr">
        <is>
          <t>STOCKHOLMS LÄN</t>
        </is>
      </c>
      <c r="G62" t="inlineStr">
        <is>
          <t>BOTKYRKA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46273</v>
      </c>
      <c r="F63" t="inlineStr">
        <is>
          <t>STOCKHOLMS LÄN</t>
        </is>
      </c>
      <c r="G63" t="inlineStr">
        <is>
          <t>BOTKYRKA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9032-2023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46273</v>
      </c>
      <c r="F64" t="inlineStr">
        <is>
          <t>STOCKHOLMS LÄN</t>
        </is>
      </c>
      <c r="G64" t="inlineStr">
        <is>
          <t>BOTKYRKA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25217-2024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45462</v>
      </c>
      <c r="E65" s="1" t="n">
        <v>46273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46273</v>
      </c>
      <c r="F66" t="inlineStr">
        <is>
          <t>STOCKHOLMS LÄN</t>
        </is>
      </c>
      <c r="G66" t="inlineStr">
        <is>
          <t>BOTKYRKA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46273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30925-2023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45113</v>
      </c>
      <c r="E68" s="1" t="n">
        <v>46273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46273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46273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46273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46273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46273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2026-09-08T02:10:36Z</dcterms:created>
  <dcterms:modified xmlns:dcterms="http://purl.org/dc/terms/" xmlns:xsi="http://www.w3.org/2001/XMLSchema-instance" xsi:type="dcterms:W3CDTF">2026-09-08T02:10:36Z</dcterms:modified>
</cp:coreProperties>
</file>