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45802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45802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45802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45802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45802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45802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45802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45802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45802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45802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45802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45802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45802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45802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45802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45802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45802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45802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45802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45802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45802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45802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45802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45802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14214-2025</t>
        </is>
      </c>
      <c r="B26" s="1" t="n">
        <v>45740</v>
      </c>
      <c r="C26" s="1" t="n">
        <v>45802</v>
      </c>
      <c r="D26" t="inlineStr">
        <is>
          <t>STOCKHOLMS LÄN</t>
        </is>
      </c>
      <c r="E26" t="inlineStr">
        <is>
          <t>BOTKYRKA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Stare</t>
        </is>
      </c>
      <c r="S26">
        <f>HYPERLINK("https://klasma.github.io/Logging_010127/artfynd/A 14214-2025 artfynd.xlsx", "A 14214-2025")</f>
        <v/>
      </c>
      <c r="T26">
        <f>HYPERLINK("https://klasma.github.io/Logging_010127/kartor/A 14214-2025 karta.png", "A 14214-2025")</f>
        <v/>
      </c>
      <c r="V26">
        <f>HYPERLINK("https://klasma.github.io/Logging_010127/klagomål/A 14214-2025 FSC-klagomål.docx", "A 14214-2025")</f>
        <v/>
      </c>
      <c r="W26">
        <f>HYPERLINK("https://klasma.github.io/Logging_010127/klagomålsmail/A 14214-2025 FSC-klagomål mail.docx", "A 14214-2025")</f>
        <v/>
      </c>
      <c r="X26">
        <f>HYPERLINK("https://klasma.github.io/Logging_010127/tillsyn/A 14214-2025 tillsynsbegäran.docx", "A 14214-2025")</f>
        <v/>
      </c>
      <c r="Y26">
        <f>HYPERLINK("https://klasma.github.io/Logging_010127/tillsynsmail/A 14214-2025 tillsynsbegäran mail.docx", "A 14214-2025")</f>
        <v/>
      </c>
    </row>
    <row r="27" ht="15" customHeight="1">
      <c r="A27" t="inlineStr">
        <is>
          <t>A 40642-2019</t>
        </is>
      </c>
      <c r="B27" s="1" t="n">
        <v>43696</v>
      </c>
      <c r="C27" s="1" t="n">
        <v>45802</v>
      </c>
      <c r="D27" t="inlineStr">
        <is>
          <t>STOCKHOLMS LÄN</t>
        </is>
      </c>
      <c r="E27" t="inlineStr">
        <is>
          <t>BOTKYRKA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40641-2019</t>
        </is>
      </c>
      <c r="B28" s="1" t="n">
        <v>43696</v>
      </c>
      <c r="C28" s="1" t="n">
        <v>45802</v>
      </c>
      <c r="D28" t="inlineStr">
        <is>
          <t>STOCKHOLMS LÄN</t>
        </is>
      </c>
      <c r="E28" t="inlineStr">
        <is>
          <t>BOTKYRKA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42448-2019</t>
        </is>
      </c>
      <c r="B29" s="1" t="n">
        <v>43704</v>
      </c>
      <c r="C29" s="1" t="n">
        <v>45802</v>
      </c>
      <c r="D29" t="inlineStr">
        <is>
          <t>STOCKHOLMS LÄN</t>
        </is>
      </c>
      <c r="E29" t="inlineStr">
        <is>
          <t>BOTKYRKA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51387-2019</t>
        </is>
      </c>
      <c r="B30" s="1" t="n">
        <v>43740</v>
      </c>
      <c r="C30" s="1" t="n">
        <v>45802</v>
      </c>
      <c r="D30" t="inlineStr">
        <is>
          <t>STOCKHOLMS LÄN</t>
        </is>
      </c>
      <c r="E30" t="inlineStr">
        <is>
          <t>BOTKYRKA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45802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45802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45802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45802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45802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45802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45802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45802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45802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45802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45802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45802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45802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45802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45802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45802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45802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45802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45802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45802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45802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45802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45802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45802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45802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45802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45802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45802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45802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45802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</v>
      </c>
      <c r="C61" s="1" t="n">
        <v>45802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45802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</v>
      </c>
      <c r="C63" s="1" t="n">
        <v>45802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73772-2021</t>
        </is>
      </c>
      <c r="B64" s="1" t="n">
        <v>44552</v>
      </c>
      <c r="C64" s="1" t="n">
        <v>45802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3681-2022</t>
        </is>
      </c>
      <c r="B65" s="1" t="n">
        <v>44586</v>
      </c>
      <c r="C65" s="1" t="n">
        <v>45802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</v>
      </c>
      <c r="C66" s="1" t="n">
        <v>45802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3671-2022</t>
        </is>
      </c>
      <c r="B67" s="1" t="n">
        <v>44586</v>
      </c>
      <c r="C67" s="1" t="n">
        <v>45802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3726-2022</t>
        </is>
      </c>
      <c r="B68" s="1" t="n">
        <v>44586</v>
      </c>
      <c r="C68" s="1" t="n">
        <v>45802</v>
      </c>
      <c r="D68" t="inlineStr">
        <is>
          <t>STOCKHOLMS LÄN</t>
        </is>
      </c>
      <c r="E68" t="inlineStr">
        <is>
          <t>BOTKYRKA</t>
        </is>
      </c>
      <c r="G68" t="n">
        <v>17.1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45802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11095-2022</t>
        </is>
      </c>
      <c r="B70" s="1" t="n">
        <v>44628</v>
      </c>
      <c r="C70" s="1" t="n">
        <v>45802</v>
      </c>
      <c r="D70" t="inlineStr">
        <is>
          <t>STOCKHOLMS LÄN</t>
        </is>
      </c>
      <c r="E70" t="inlineStr">
        <is>
          <t>BOTKYRKA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15825-2022</t>
        </is>
      </c>
      <c r="B71" s="1" t="n">
        <v>44664</v>
      </c>
      <c r="C71" s="1" t="n">
        <v>45802</v>
      </c>
      <c r="D71" t="inlineStr">
        <is>
          <t>STOCKHOLMS LÄN</t>
        </is>
      </c>
      <c r="E71" t="inlineStr">
        <is>
          <t>BOTKYRKA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15905-2022</t>
        </is>
      </c>
      <c r="B72" s="1" t="n">
        <v>44664</v>
      </c>
      <c r="C72" s="1" t="n">
        <v>45802</v>
      </c>
      <c r="D72" t="inlineStr">
        <is>
          <t>STOCKHOLMS LÄN</t>
        </is>
      </c>
      <c r="E72" t="inlineStr">
        <is>
          <t>BOTKYRKA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17789-2022</t>
        </is>
      </c>
      <c r="B73" s="1" t="n">
        <v>44680</v>
      </c>
      <c r="C73" s="1" t="n">
        <v>45802</v>
      </c>
      <c r="D73" t="inlineStr">
        <is>
          <t>STOCKHOLMS LÄN</t>
        </is>
      </c>
      <c r="E73" t="inlineStr">
        <is>
          <t>BOTKYRKA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18093-2022</t>
        </is>
      </c>
      <c r="B74" s="1" t="n">
        <v>44684</v>
      </c>
      <c r="C74" s="1" t="n">
        <v>45802</v>
      </c>
      <c r="D74" t="inlineStr">
        <is>
          <t>STOCKHOLMS LÄN</t>
        </is>
      </c>
      <c r="E74" t="inlineStr">
        <is>
          <t>BOTKYRKA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20649-2022</t>
        </is>
      </c>
      <c r="B75" s="1" t="n">
        <v>44700</v>
      </c>
      <c r="C75" s="1" t="n">
        <v>45802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32828-2022</t>
        </is>
      </c>
      <c r="B76" s="1" t="n">
        <v>44784</v>
      </c>
      <c r="C76" s="1" t="n">
        <v>45802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38194-2022</t>
        </is>
      </c>
      <c r="B77" s="1" t="n">
        <v>44812</v>
      </c>
      <c r="C77" s="1" t="n">
        <v>45802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38202-2022</t>
        </is>
      </c>
      <c r="B78" s="1" t="n">
        <v>44812</v>
      </c>
      <c r="C78" s="1" t="n">
        <v>45802</v>
      </c>
      <c r="D78" t="inlineStr">
        <is>
          <t>STOCKHOLMS LÄN</t>
        </is>
      </c>
      <c r="E78" t="inlineStr">
        <is>
          <t>BOTKYRKA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38196-2022</t>
        </is>
      </c>
      <c r="B79" s="1" t="n">
        <v>44812</v>
      </c>
      <c r="C79" s="1" t="n">
        <v>45802</v>
      </c>
      <c r="D79" t="inlineStr">
        <is>
          <t>STOCKHOLMS LÄN</t>
        </is>
      </c>
      <c r="E79" t="inlineStr">
        <is>
          <t>BOTKYRKA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38543-2022</t>
        </is>
      </c>
      <c r="B80" s="1" t="n">
        <v>44813</v>
      </c>
      <c r="C80" s="1" t="n">
        <v>45802</v>
      </c>
      <c r="D80" t="inlineStr">
        <is>
          <t>STOCKHOLMS LÄN</t>
        </is>
      </c>
      <c r="E80" t="inlineStr">
        <is>
          <t>BOTKYRKA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45869-2022</t>
        </is>
      </c>
      <c r="B81" s="1" t="n">
        <v>44844</v>
      </c>
      <c r="C81" s="1" t="n">
        <v>45802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46405-2022</t>
        </is>
      </c>
      <c r="B82" s="1" t="n">
        <v>44846</v>
      </c>
      <c r="C82" s="1" t="n">
        <v>45802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47617-2022</t>
        </is>
      </c>
      <c r="B83" s="1" t="n">
        <v>44852</v>
      </c>
      <c r="C83" s="1" t="n">
        <v>45802</v>
      </c>
      <c r="D83" t="inlineStr">
        <is>
          <t>STOCKHOLMS LÄN</t>
        </is>
      </c>
      <c r="E83" t="inlineStr">
        <is>
          <t>BOTKYRKA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48647-2022</t>
        </is>
      </c>
      <c r="B84" s="1" t="n">
        <v>44859</v>
      </c>
      <c r="C84" s="1" t="n">
        <v>45802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48667-2022</t>
        </is>
      </c>
      <c r="B85" s="1" t="n">
        <v>44859</v>
      </c>
      <c r="C85" s="1" t="n">
        <v>45802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48656-2022</t>
        </is>
      </c>
      <c r="B86" s="1" t="n">
        <v>44859</v>
      </c>
      <c r="C86" s="1" t="n">
        <v>45802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57876-2022</t>
        </is>
      </c>
      <c r="B87" s="1" t="n">
        <v>44899</v>
      </c>
      <c r="C87" s="1" t="n">
        <v>45802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58618-2022</t>
        </is>
      </c>
      <c r="B88" s="1" t="n">
        <v>44902</v>
      </c>
      <c r="C88" s="1" t="n">
        <v>45802</v>
      </c>
      <c r="D88" t="inlineStr">
        <is>
          <t>STOCKHOLMS LÄN</t>
        </is>
      </c>
      <c r="E88" t="inlineStr">
        <is>
          <t>BOTKYRKA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61242-2022</t>
        </is>
      </c>
      <c r="B89" s="1" t="n">
        <v>44915</v>
      </c>
      <c r="C89" s="1" t="n">
        <v>45802</v>
      </c>
      <c r="D89" t="inlineStr">
        <is>
          <t>STOCKHOLMS LÄN</t>
        </is>
      </c>
      <c r="E89" t="inlineStr">
        <is>
          <t>BOTKYRKA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61225-2022</t>
        </is>
      </c>
      <c r="B90" s="1" t="n">
        <v>44915</v>
      </c>
      <c r="C90" s="1" t="n">
        <v>45802</v>
      </c>
      <c r="D90" t="inlineStr">
        <is>
          <t>STOCKHOLMS LÄN</t>
        </is>
      </c>
      <c r="E90" t="inlineStr">
        <is>
          <t>BOTKYRKA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61516-2022</t>
        </is>
      </c>
      <c r="B91" s="1" t="n">
        <v>44916</v>
      </c>
      <c r="C91" s="1" t="n">
        <v>45802</v>
      </c>
      <c r="D91" t="inlineStr">
        <is>
          <t>STOCKHOLMS LÄN</t>
        </is>
      </c>
      <c r="E91" t="inlineStr">
        <is>
          <t>BOTKYRKA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61514-2022</t>
        </is>
      </c>
      <c r="B92" s="1" t="n">
        <v>44916</v>
      </c>
      <c r="C92" s="1" t="n">
        <v>45802</v>
      </c>
      <c r="D92" t="inlineStr">
        <is>
          <t>STOCKHOLMS LÄN</t>
        </is>
      </c>
      <c r="E92" t="inlineStr">
        <is>
          <t>BOTKYRKA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695-2023</t>
        </is>
      </c>
      <c r="B93" s="1" t="n">
        <v>44930</v>
      </c>
      <c r="C93" s="1" t="n">
        <v>45802</v>
      </c>
      <c r="D93" t="inlineStr">
        <is>
          <t>STOCKHOLMS LÄN</t>
        </is>
      </c>
      <c r="E93" t="inlineStr">
        <is>
          <t>BOTKYRKA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1347-2023</t>
        </is>
      </c>
      <c r="B94" s="1" t="n">
        <v>44936</v>
      </c>
      <c r="C94" s="1" t="n">
        <v>45802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1344-2023</t>
        </is>
      </c>
      <c r="B95" s="1" t="n">
        <v>44936</v>
      </c>
      <c r="C95" s="1" t="n">
        <v>45802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1337-2023</t>
        </is>
      </c>
      <c r="B96" s="1" t="n">
        <v>44936</v>
      </c>
      <c r="C96" s="1" t="n">
        <v>45802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1368-2023</t>
        </is>
      </c>
      <c r="B97" s="1" t="n">
        <v>44936</v>
      </c>
      <c r="C97" s="1" t="n">
        <v>45802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1695-2023</t>
        </is>
      </c>
      <c r="B98" s="1" t="n">
        <v>44938</v>
      </c>
      <c r="C98" s="1" t="n">
        <v>45802</v>
      </c>
      <c r="D98" t="inlineStr">
        <is>
          <t>STOCKHOLMS LÄN</t>
        </is>
      </c>
      <c r="E98" t="inlineStr">
        <is>
          <t>BOTKYRKA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9032-2023</t>
        </is>
      </c>
      <c r="B99" s="1" t="n">
        <v>44979</v>
      </c>
      <c r="C99" s="1" t="n">
        <v>45802</v>
      </c>
      <c r="D99" t="inlineStr">
        <is>
          <t>STOCKHOLMS LÄN</t>
        </is>
      </c>
      <c r="E99" t="inlineStr">
        <is>
          <t>BOTKYRKA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12282-2023</t>
        </is>
      </c>
      <c r="B100" s="1" t="n">
        <v>44995</v>
      </c>
      <c r="C100" s="1" t="n">
        <v>45802</v>
      </c>
      <c r="D100" t="inlineStr">
        <is>
          <t>STOCKHOLMS LÄN</t>
        </is>
      </c>
      <c r="E100" t="inlineStr">
        <is>
          <t>BOTKYRKA</t>
        </is>
      </c>
      <c r="F100" t="inlineStr">
        <is>
          <t>Övriga statliga verk och myndigheter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15690-2023</t>
        </is>
      </c>
      <c r="B101" s="1" t="n">
        <v>45020</v>
      </c>
      <c r="C101" s="1" t="n">
        <v>45802</v>
      </c>
      <c r="D101" t="inlineStr">
        <is>
          <t>STOCKHOLMS LÄN</t>
        </is>
      </c>
      <c r="E101" t="inlineStr">
        <is>
          <t>BOTKYRKA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15692-2023</t>
        </is>
      </c>
      <c r="B102" s="1" t="n">
        <v>45020</v>
      </c>
      <c r="C102" s="1" t="n">
        <v>45802</v>
      </c>
      <c r="D102" t="inlineStr">
        <is>
          <t>STOCKHOLMS LÄN</t>
        </is>
      </c>
      <c r="E102" t="inlineStr">
        <is>
          <t>BOTKYRKA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16483-2023</t>
        </is>
      </c>
      <c r="B103" s="1" t="n">
        <v>45029</v>
      </c>
      <c r="C103" s="1" t="n">
        <v>45802</v>
      </c>
      <c r="D103" t="inlineStr">
        <is>
          <t>STOCKHOLMS LÄN</t>
        </is>
      </c>
      <c r="E103" t="inlineStr">
        <is>
          <t>BOTKYRKA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18956-2023</t>
        </is>
      </c>
      <c r="B104" s="1" t="n">
        <v>45044</v>
      </c>
      <c r="C104" s="1" t="n">
        <v>45802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19577-2023</t>
        </is>
      </c>
      <c r="B105" s="1" t="n">
        <v>45050</v>
      </c>
      <c r="C105" s="1" t="n">
        <v>45802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21285-2023</t>
        </is>
      </c>
      <c r="B106" s="1" t="n">
        <v>45062</v>
      </c>
      <c r="C106" s="1" t="n">
        <v>45802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30917-2023</t>
        </is>
      </c>
      <c r="B107" s="1" t="n">
        <v>45113</v>
      </c>
      <c r="C107" s="1" t="n">
        <v>45802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30925-2023</t>
        </is>
      </c>
      <c r="B108" s="1" t="n">
        <v>45113</v>
      </c>
      <c r="C108" s="1" t="n">
        <v>45802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36402-2023</t>
        </is>
      </c>
      <c r="B109" s="1" t="n">
        <v>45152</v>
      </c>
      <c r="C109" s="1" t="n">
        <v>45802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39763-2023</t>
        </is>
      </c>
      <c r="B110" s="1" t="n">
        <v>45167</v>
      </c>
      <c r="C110" s="1" t="n">
        <v>45802</v>
      </c>
      <c r="D110" t="inlineStr">
        <is>
          <t>STOCKHOLMS LÄN</t>
        </is>
      </c>
      <c r="E110" t="inlineStr">
        <is>
          <t>BOTKYRKA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40978-2023</t>
        </is>
      </c>
      <c r="B111" s="1" t="n">
        <v>45173</v>
      </c>
      <c r="C111" s="1" t="n">
        <v>45802</v>
      </c>
      <c r="D111" t="inlineStr">
        <is>
          <t>STOCKHOLMS LÄN</t>
        </is>
      </c>
      <c r="E111" t="inlineStr">
        <is>
          <t>BOTKYRKA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HYPERLINK("https://klasma.github.io/Logging_0127/knärot/A 40978-2023 karta knärot.png", "A 40978-2023")</f>
        <v/>
      </c>
      <c r="V111">
        <f>HYPERLINK("https://klasma.github.io/Logging_0127/klagomål/A 40978-2023 FSC-klagomål.docx", "A 40978-2023")</f>
        <v/>
      </c>
      <c r="W111">
        <f>HYPERLINK("https://klasma.github.io/Logging_0127/klagomålsmail/A 40978-2023 FSC-klagomål mail.docx", "A 40978-2023")</f>
        <v/>
      </c>
      <c r="X111">
        <f>HYPERLINK("https://klasma.github.io/Logging_0127/tillsyn/A 40978-2023 tillsynsbegäran.docx", "A 40978-2023")</f>
        <v/>
      </c>
      <c r="Y111">
        <f>HYPERLINK("https://klasma.github.io/Logging_0127/tillsynsmail/A 40978-2023 tillsynsbegäran mail.docx", "A 40978-2023")</f>
        <v/>
      </c>
    </row>
    <row r="112" ht="15" customHeight="1">
      <c r="A112" t="inlineStr">
        <is>
          <t>A 46942-2023</t>
        </is>
      </c>
      <c r="B112" s="1" t="n">
        <v>45195</v>
      </c>
      <c r="C112" s="1" t="n">
        <v>45802</v>
      </c>
      <c r="D112" t="inlineStr">
        <is>
          <t>STOCKHOLMS LÄN</t>
        </is>
      </c>
      <c r="E112" t="inlineStr">
        <is>
          <t>BOTKYRKA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56885-2023</t>
        </is>
      </c>
      <c r="B113" s="1" t="n">
        <v>45244</v>
      </c>
      <c r="C113" s="1" t="n">
        <v>45802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56900-2023</t>
        </is>
      </c>
      <c r="B114" s="1" t="n">
        <v>45244</v>
      </c>
      <c r="C114" s="1" t="n">
        <v>45802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60063-2023</t>
        </is>
      </c>
      <c r="B115" s="1" t="n">
        <v>45258</v>
      </c>
      <c r="C115" s="1" t="n">
        <v>45802</v>
      </c>
      <c r="D115" t="inlineStr">
        <is>
          <t>STOCKHOLMS LÄN</t>
        </is>
      </c>
      <c r="E115" t="inlineStr">
        <is>
          <t>BOTKYRKA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60075-2023</t>
        </is>
      </c>
      <c r="B116" s="1" t="n">
        <v>45258</v>
      </c>
      <c r="C116" s="1" t="n">
        <v>45802</v>
      </c>
      <c r="D116" t="inlineStr">
        <is>
          <t>STOCKHOLMS LÄN</t>
        </is>
      </c>
      <c r="E116" t="inlineStr">
        <is>
          <t>BOTKYRKA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63071-2023</t>
        </is>
      </c>
      <c r="B117" s="1" t="n">
        <v>45272</v>
      </c>
      <c r="C117" s="1" t="n">
        <v>45802</v>
      </c>
      <c r="D117" t="inlineStr">
        <is>
          <t>STOCKHOLMS LÄN</t>
        </is>
      </c>
      <c r="E117" t="inlineStr">
        <is>
          <t>BOTKYRKA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64544-2023</t>
        </is>
      </c>
      <c r="B118" s="1" t="n">
        <v>45281</v>
      </c>
      <c r="C118" s="1" t="n">
        <v>45802</v>
      </c>
      <c r="D118" t="inlineStr">
        <is>
          <t>STOCKHOLMS LÄN</t>
        </is>
      </c>
      <c r="E118" t="inlineStr">
        <is>
          <t>BOTKYRKA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6962-2024</t>
        </is>
      </c>
      <c r="B119" s="1" t="n">
        <v>45343</v>
      </c>
      <c r="C119" s="1" t="n">
        <v>45802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45802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8528-2024</t>
        </is>
      </c>
      <c r="B121" s="1" t="n">
        <v>45355</v>
      </c>
      <c r="C121" s="1" t="n">
        <v>45802</v>
      </c>
      <c r="D121" t="inlineStr">
        <is>
          <t>STOCKHOLMS LÄN</t>
        </is>
      </c>
      <c r="E121" t="inlineStr">
        <is>
          <t>BOTKYRKA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11867-2024</t>
        </is>
      </c>
      <c r="B122" s="1" t="n">
        <v>45376</v>
      </c>
      <c r="C122" s="1" t="n">
        <v>45802</v>
      </c>
      <c r="D122" t="inlineStr">
        <is>
          <t>STOCKHOLMS LÄN</t>
        </is>
      </c>
      <c r="E122" t="inlineStr">
        <is>
          <t>BOTKYRKA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11876-2024</t>
        </is>
      </c>
      <c r="B123" s="1" t="n">
        <v>45376</v>
      </c>
      <c r="C123" s="1" t="n">
        <v>45802</v>
      </c>
      <c r="D123" t="inlineStr">
        <is>
          <t>STOCKHOLMS LÄN</t>
        </is>
      </c>
      <c r="E123" t="inlineStr">
        <is>
          <t>BOTKYRKA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16142-2024</t>
        </is>
      </c>
      <c r="B124" s="1" t="n">
        <v>45406</v>
      </c>
      <c r="C124" s="1" t="n">
        <v>45802</v>
      </c>
      <c r="D124" t="inlineStr">
        <is>
          <t>STOCKHOLMS LÄN</t>
        </is>
      </c>
      <c r="E124" t="inlineStr">
        <is>
          <t>BOTKYRKA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16145-2024</t>
        </is>
      </c>
      <c r="B125" s="1" t="n">
        <v>45406</v>
      </c>
      <c r="C125" s="1" t="n">
        <v>45802</v>
      </c>
      <c r="D125" t="inlineStr">
        <is>
          <t>STOCKHOLMS LÄN</t>
        </is>
      </c>
      <c r="E125" t="inlineStr">
        <is>
          <t>BOTKYRKA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16149-2024</t>
        </is>
      </c>
      <c r="B126" s="1" t="n">
        <v>45406</v>
      </c>
      <c r="C126" s="1" t="n">
        <v>45802</v>
      </c>
      <c r="D126" t="inlineStr">
        <is>
          <t>STOCKHOLMS LÄN</t>
        </is>
      </c>
      <c r="E126" t="inlineStr">
        <is>
          <t>BOTKYRKA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19319-2024</t>
        </is>
      </c>
      <c r="B127" s="1" t="n">
        <v>45428</v>
      </c>
      <c r="C127" s="1" t="n">
        <v>45802</v>
      </c>
      <c r="D127" t="inlineStr">
        <is>
          <t>STOCKHOLMS LÄN</t>
        </is>
      </c>
      <c r="E127" t="inlineStr">
        <is>
          <t>BOTKYRKA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19318-2024</t>
        </is>
      </c>
      <c r="B128" s="1" t="n">
        <v>45428</v>
      </c>
      <c r="C128" s="1" t="n">
        <v>45802</v>
      </c>
      <c r="D128" t="inlineStr">
        <is>
          <t>STOCKHOLMS LÄN</t>
        </is>
      </c>
      <c r="E128" t="inlineStr">
        <is>
          <t>BOTKYRKA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23670-2024</t>
        </is>
      </c>
      <c r="B129" s="1" t="n">
        <v>45454</v>
      </c>
      <c r="C129" s="1" t="n">
        <v>45802</v>
      </c>
      <c r="D129" t="inlineStr">
        <is>
          <t>STOCKHOLMS LÄN</t>
        </is>
      </c>
      <c r="E129" t="inlineStr">
        <is>
          <t>BOTKYRKA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25217-2024</t>
        </is>
      </c>
      <c r="B130" s="1" t="n">
        <v>45462</v>
      </c>
      <c r="C130" s="1" t="n">
        <v>45802</v>
      </c>
      <c r="D130" t="inlineStr">
        <is>
          <t>STOCKHOLMS LÄN</t>
        </is>
      </c>
      <c r="E130" t="inlineStr">
        <is>
          <t>BOTKYRKA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25156-2024</t>
        </is>
      </c>
      <c r="B131" s="1" t="n">
        <v>45462</v>
      </c>
      <c r="C131" s="1" t="n">
        <v>45802</v>
      </c>
      <c r="D131" t="inlineStr">
        <is>
          <t>STOCKHOLMS LÄN</t>
        </is>
      </c>
      <c r="E131" t="inlineStr">
        <is>
          <t>BOTKYRKA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28983-2024</t>
        </is>
      </c>
      <c r="B132" s="1" t="n">
        <v>45481</v>
      </c>
      <c r="C132" s="1" t="n">
        <v>45802</v>
      </c>
      <c r="D132" t="inlineStr">
        <is>
          <t>STOCKHOLMS LÄN</t>
        </is>
      </c>
      <c r="E132" t="inlineStr">
        <is>
          <t>BOTKYRKA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30378-2024</t>
        </is>
      </c>
      <c r="B133" s="1" t="n">
        <v>45491</v>
      </c>
      <c r="C133" s="1" t="n">
        <v>45802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30622-2024</t>
        </is>
      </c>
      <c r="B134" s="1" t="n">
        <v>45495</v>
      </c>
      <c r="C134" s="1" t="n">
        <v>45802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35197-2024</t>
        </is>
      </c>
      <c r="B135" s="1" t="n">
        <v>45530</v>
      </c>
      <c r="C135" s="1" t="n">
        <v>45802</v>
      </c>
      <c r="D135" t="inlineStr">
        <is>
          <t>STOCKHOLMS LÄN</t>
        </is>
      </c>
      <c r="E135" t="inlineStr">
        <is>
          <t>BOTKYRKA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35180-2024</t>
        </is>
      </c>
      <c r="B136" s="1" t="n">
        <v>45530</v>
      </c>
      <c r="C136" s="1" t="n">
        <v>45802</v>
      </c>
      <c r="D136" t="inlineStr">
        <is>
          <t>STOCKHOLMS LÄN</t>
        </is>
      </c>
      <c r="E136" t="inlineStr">
        <is>
          <t>BOTKYRKA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52263-2024</t>
        </is>
      </c>
      <c r="B137" s="1" t="n">
        <v>45608</v>
      </c>
      <c r="C137" s="1" t="n">
        <v>45802</v>
      </c>
      <c r="D137" t="inlineStr">
        <is>
          <t>STOCKHOLMS LÄN</t>
        </is>
      </c>
      <c r="E137" t="inlineStr">
        <is>
          <t>BOTKYRKA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52464-2024</t>
        </is>
      </c>
      <c r="B138" s="1" t="n">
        <v>45609</v>
      </c>
      <c r="C138" s="1" t="n">
        <v>45802</v>
      </c>
      <c r="D138" t="inlineStr">
        <is>
          <t>STOCKHOLMS LÄN</t>
        </is>
      </c>
      <c r="E138" t="inlineStr">
        <is>
          <t>BOTKYRKA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61320-2024</t>
        </is>
      </c>
      <c r="B139" s="1" t="n">
        <v>45646</v>
      </c>
      <c r="C139" s="1" t="n">
        <v>45802</v>
      </c>
      <c r="D139" t="inlineStr">
        <is>
          <t>STOCKHOLMS LÄN</t>
        </is>
      </c>
      <c r="E139" t="inlineStr">
        <is>
          <t>BOTKYRKA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27-2025</t>
        </is>
      </c>
      <c r="B140" s="1" t="n">
        <v>45659</v>
      </c>
      <c r="C140" s="1" t="n">
        <v>45802</v>
      </c>
      <c r="D140" t="inlineStr">
        <is>
          <t>STOCKHOLMS LÄN</t>
        </is>
      </c>
      <c r="E140" t="inlineStr">
        <is>
          <t>BOTKYRKA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25-2025</t>
        </is>
      </c>
      <c r="B141" s="1" t="n">
        <v>45658</v>
      </c>
      <c r="C141" s="1" t="n">
        <v>45802</v>
      </c>
      <c r="D141" t="inlineStr">
        <is>
          <t>STOCKHOLMS LÄN</t>
        </is>
      </c>
      <c r="E141" t="inlineStr">
        <is>
          <t>BOTKYRKA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44-2025</t>
        </is>
      </c>
      <c r="B142" s="1" t="n">
        <v>45659</v>
      </c>
      <c r="C142" s="1" t="n">
        <v>45802</v>
      </c>
      <c r="D142" t="inlineStr">
        <is>
          <t>STOCKHOLMS LÄN</t>
        </is>
      </c>
      <c r="E142" t="inlineStr">
        <is>
          <t>BOTKYRKA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1240-2025</t>
        </is>
      </c>
      <c r="B143" s="1" t="n">
        <v>45667</v>
      </c>
      <c r="C143" s="1" t="n">
        <v>45802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3021-2025</t>
        </is>
      </c>
      <c r="B144" s="1" t="n">
        <v>45678</v>
      </c>
      <c r="C144" s="1" t="n">
        <v>45802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5119-2025</t>
        </is>
      </c>
      <c r="B145" s="1" t="n">
        <v>45691</v>
      </c>
      <c r="C145" s="1" t="n">
        <v>45802</v>
      </c>
      <c r="D145" t="inlineStr">
        <is>
          <t>STOCKHOLMS LÄN</t>
        </is>
      </c>
      <c r="E145" t="inlineStr">
        <is>
          <t>BOTKYRKA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45802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45802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45802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45802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45802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2025-05-25T18:13:20Z</dcterms:created>
  <dcterms:modified xmlns:dcterms="http://purl.org/dc/terms/" xmlns:xsi="http://www.w3.org/2001/XMLSchema-instance" xsi:type="dcterms:W3CDTF">2025-05-25T18:13:20Z</dcterms:modified>
</cp:coreProperties>
</file>