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46323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12</v>
      </c>
      <c r="K2" t="n">
        <v>2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51</v>
      </c>
      <c r="U2" t="n">
        <v>51</v>
      </c>
      <c r="V2" s="2" t="inlineStr">
        <is>
          <t>Stare
Fransfladdermus
Grönsångare
Gulsparv
Nordfladdermus
Rödvingetrast
Slåtterfibbla
Tallticka
Blåmossa
Mindre märgborre
Kransmossa
Liljekonvalj
Spillkråka
Tofsmes
Dvärgpipistrell
Gröngöling
Större brunfladdermus
Vattenfladdermus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46323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46323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46323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46323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46323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46323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46323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46323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46323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46323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A 24799-2026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46323</v>
      </c>
      <c r="F13" t="inlineStr">
        <is>
          <t>STOCKHOLMS LÄN</t>
        </is>
      </c>
      <c r="G13" t="inlineStr">
        <is>
          <t>BOTKYRKA</t>
        </is>
      </c>
      <c r="I13" t="n">
        <v>1.7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Gulsparv
Mindre märgborre
Spillkråka
Tofsmes</t>
        </is>
      </c>
      <c r="W13">
        <f>HYPERLINK("https://klasma.github.io/Logging_0127/artfynd/A 24799-2026 artfynd.xlsx", "A 24799-2026")</f>
        <v/>
      </c>
      <c r="X13">
        <f>HYPERLINK("https://klasma.github.io/Logging_0127/kartor/A 24799-2026 karta.png", "A 24799-2026")</f>
        <v/>
      </c>
      <c r="Y13">
        <f>HYPERLINK("https://klasma.github.io/Logging_0127/kartor_geotiff/A 24799-2026 georefererad karta.tif", "A 24799-2026")</f>
        <v/>
      </c>
      <c r="AA13">
        <f>HYPERLINK("https://klasma.github.io/Logging_0127/klagomål/A 24799-2026 FSC-klagomål.docx", "A 24799-2026")</f>
        <v/>
      </c>
      <c r="AB13">
        <f>HYPERLINK("https://klasma.github.io/Logging_0127/klagomålsmail/A 24799-2026 FSC-klagomål mail.docx", "A 24799-2026")</f>
        <v/>
      </c>
      <c r="AC13">
        <f>HYPERLINK("https://klasma.github.io/Logging_0127/tillsyn/A 24799-2026 tillsynsbegäran.docx", "A 24799-2026")</f>
        <v/>
      </c>
      <c r="AD13">
        <f>HYPERLINK("https://klasma.github.io/Logging_0127/tillsynsmail/A 24799-2026 tillsynsbegäran mail.docx", "A 24799-2026")</f>
        <v/>
      </c>
      <c r="AE13">
        <f>HYPERLINK("https://klasma.github.io/Logging_0127/fåglar/A 24799-2026 prioriterade fågelarter.docx", "A 24799-2026")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46323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46323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46323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25319-2026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46176</v>
      </c>
      <c r="E17" s="1" t="n">
        <v>46323</v>
      </c>
      <c r="F17" t="inlineStr">
        <is>
          <t>STOCKHOLMS LÄN</t>
        </is>
      </c>
      <c r="G17" t="inlineStr">
        <is>
          <t>BOTKYRKA</t>
        </is>
      </c>
      <c r="I17" t="n">
        <v>1.6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Grovticka
Spillkråka
Tofsmes</t>
        </is>
      </c>
      <c r="W17">
        <f>HYPERLINK("https://klasma.github.io/Logging_0127/artfynd/A 25319-2026 artfynd.xlsx", "A 25319-2026")</f>
        <v/>
      </c>
      <c r="X17">
        <f>HYPERLINK("https://klasma.github.io/Logging_0127/kartor/A 25319-2026 karta.png", "A 25319-2026")</f>
        <v/>
      </c>
      <c r="Y17">
        <f>HYPERLINK("https://klasma.github.io/Logging_0127/kartor_geotiff/A 25319-2026 georefererad karta.tif", "A 25319-2026")</f>
        <v/>
      </c>
      <c r="AA17">
        <f>HYPERLINK("https://klasma.github.io/Logging_0127/klagomål/A 25319-2026 FSC-klagomål.docx", "A 25319-2026")</f>
        <v/>
      </c>
      <c r="AB17">
        <f>HYPERLINK("https://klasma.github.io/Logging_0127/klagomålsmail/A 25319-2026 FSC-klagomål mail.docx", "A 25319-2026")</f>
        <v/>
      </c>
      <c r="AC17">
        <f>HYPERLINK("https://klasma.github.io/Logging_0127/tillsyn/A 25319-2026 tillsynsbegäran.docx", "A 25319-2026")</f>
        <v/>
      </c>
      <c r="AD17">
        <f>HYPERLINK("https://klasma.github.io/Logging_0127/tillsynsmail/A 25319-2026 tillsynsbegäran mail.docx", "A 25319-2026")</f>
        <v/>
      </c>
      <c r="AE17">
        <f>HYPERLINK("https://klasma.github.io/Logging_0127/fåglar/A 25319-2026 prioriterade fågelarter.docx", "A 25319-2026")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46323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46323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46323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46323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46323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14214-2025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46323</v>
      </c>
      <c r="F23" t="inlineStr">
        <is>
          <t>STOCKHOLMS LÄN</t>
        </is>
      </c>
      <c r="G23" t="inlineStr">
        <is>
          <t>BOTKYRKA</t>
        </is>
      </c>
      <c r="I23" t="n">
        <v>2.5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Stare</t>
        </is>
      </c>
      <c r="W23">
        <f>HYPERLINK("https://klasma.github.io/Logging_0127/artfynd/A 14214-2025 artfynd.xlsx", "A 14214-2025")</f>
        <v/>
      </c>
      <c r="X23">
        <f>HYPERLINK("https://klasma.github.io/Logging_0127/kartor/A 14214-2025 karta.png", "A 14214-2025")</f>
        <v/>
      </c>
      <c r="Y23">
        <f>HYPERLINK("https://klasma.github.io/Logging_0127/kartor_geotiff/A 14214-2025 georefererad karta.tif", "A 14214-2025")</f>
        <v/>
      </c>
      <c r="AA23">
        <f>HYPERLINK("https://klasma.github.io/Logging_0127/klagomål/A 14214-2025 FSC-klagomål.docx", "A 14214-2025")</f>
        <v/>
      </c>
      <c r="AB23">
        <f>HYPERLINK("https://klasma.github.io/Logging_0127/klagomålsmail/A 14214-2025 FSC-klagomål mail.docx", "A 14214-2025")</f>
        <v/>
      </c>
      <c r="AC23">
        <f>HYPERLINK("https://klasma.github.io/Logging_0127/tillsyn/A 14214-2025 tillsynsbegäran.docx", "A 14214-2025")</f>
        <v/>
      </c>
      <c r="AD23">
        <f>HYPERLINK("https://klasma.github.io/Logging_0127/tillsynsmail/A 14214-2025 tillsynsbegäran mail.docx", "A 14214-2025")</f>
        <v/>
      </c>
      <c r="AE23">
        <f>HYPERLINK("https://klasma.github.io/Logging_0127/fåglar/A 14214-2025 prioriterade fågelarter.docx", "A 14214-2025")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46323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46323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1691-2023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46323</v>
      </c>
      <c r="F26" t="inlineStr">
        <is>
          <t>STOCKHOLMS LÄN</t>
        </is>
      </c>
      <c r="G26" t="inlineStr">
        <is>
          <t>BOTKYRKA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HYPERLINK("https://klasma.github.io/Logging_0127/artfynd/A 1691-2023 artfynd.xlsx", "A 1691-2023")</f>
        <v/>
      </c>
      <c r="X26">
        <f>HYPERLINK("https://klasma.github.io/Logging_0127/kartor/A 1691-2023 karta.png", "A 1691-2023")</f>
        <v/>
      </c>
      <c r="Y26">
        <f>HYPERLINK("https://klasma.github.io/Logging_0127/kartor_geotiff/A 1691-2023 georefererad karta.tif", "A 1691-2023")</f>
        <v/>
      </c>
      <c r="AA26">
        <f>HYPERLINK("https://klasma.github.io/Logging_0127/klagomål/A 1691-2023 FSC-klagomål.docx", "A 1691-2023")</f>
        <v/>
      </c>
      <c r="AB26">
        <f>HYPERLINK("https://klasma.github.io/Logging_0127/klagomålsmail/A 1691-2023 FSC-klagomål mail.docx", "A 1691-2023")</f>
        <v/>
      </c>
      <c r="AC26">
        <f>HYPERLINK("https://klasma.github.io/Logging_0127/tillsyn/A 1691-2023 tillsynsbegäran.docx", "A 1691-2023")</f>
        <v/>
      </c>
      <c r="AD26">
        <f>HYPERLINK("https://klasma.github.io/Logging_0127/tillsynsmail/A 1691-2023 tillsynsbegäran mail.docx", "A 1691-2023")</f>
        <v/>
      </c>
    </row>
    <row r="27" ht="15" customHeight="1">
      <c r="A27" t="inlineStr">
        <is>
          <t>A 3726-2022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46323</v>
      </c>
      <c r="F27" t="inlineStr">
        <is>
          <t>STOCKHOLMS LÄN</t>
        </is>
      </c>
      <c r="G27" t="inlineStr">
        <is>
          <t>BOTKYRKA</t>
        </is>
      </c>
      <c r="I27" t="n">
        <v>17.1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Blomkålssvamp</t>
        </is>
      </c>
      <c r="W27">
        <f>HYPERLINK("https://klasma.github.io/Logging_0127/artfynd/A 3726-2022 artfynd.xlsx", "A 3726-2022")</f>
        <v/>
      </c>
      <c r="X27">
        <f>HYPERLINK("https://klasma.github.io/Logging_0127/kartor/A 3726-2022 karta.png", "A 3726-2022")</f>
        <v/>
      </c>
      <c r="Y27">
        <f>HYPERLINK("https://klasma.github.io/Logging_0127/kartor_geotiff/A 3726-2022 georefererad karta.tif", "A 3726-2022")</f>
        <v/>
      </c>
      <c r="AA27">
        <f>HYPERLINK("https://klasma.github.io/Logging_0127/klagomål/A 3726-2022 FSC-klagomål.docx", "A 3726-2022")</f>
        <v/>
      </c>
      <c r="AB27">
        <f>HYPERLINK("https://klasma.github.io/Logging_0127/klagomålsmail/A 3726-2022 FSC-klagomål mail.docx", "A 3726-2022")</f>
        <v/>
      </c>
      <c r="AC27">
        <f>HYPERLINK("https://klasma.github.io/Logging_0127/tillsyn/A 3726-2022 tillsynsbegäran.docx", "A 3726-2022")</f>
        <v/>
      </c>
      <c r="AD27">
        <f>HYPERLINK("https://klasma.github.io/Logging_0127/tillsynsmail/A 3726-2022 tillsynsbegäran mail.docx", "A 3726-2022")</f>
        <v/>
      </c>
    </row>
    <row r="28" ht="15" customHeight="1">
      <c r="A28" t="inlineStr">
        <is>
          <t>A 15690-2023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45020</v>
      </c>
      <c r="E28" s="1" t="n">
        <v>46323</v>
      </c>
      <c r="F28" t="inlineStr">
        <is>
          <t>STOCKHOLMS LÄN</t>
        </is>
      </c>
      <c r="G28" t="inlineStr">
        <is>
          <t>BOTKYRKA</t>
        </is>
      </c>
      <c r="I28" t="n">
        <v>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HYPERLINK("https://klasma.github.io/Logging_0127/artfynd/A 15690-2023 artfynd.xlsx", "A 15690-2023")</f>
        <v/>
      </c>
      <c r="X28">
        <f>HYPERLINK("https://klasma.github.io/Logging_0127/kartor/A 15690-2023 karta.png", "A 15690-2023")</f>
        <v/>
      </c>
      <c r="Y28">
        <f>HYPERLINK("https://klasma.github.io/Logging_0127/kartor_geotiff/A 15690-2023 georefererad karta.tif", "A 15690-2023")</f>
        <v/>
      </c>
      <c r="AA28">
        <f>HYPERLINK("https://klasma.github.io/Logging_0127/klagomål/A 15690-2023 FSC-klagomål.docx", "A 15690-2023")</f>
        <v/>
      </c>
      <c r="AB28">
        <f>HYPERLINK("https://klasma.github.io/Logging_0127/klagomålsmail/A 15690-2023 FSC-klagomål mail.docx", "A 15690-2023")</f>
        <v/>
      </c>
      <c r="AC28">
        <f>HYPERLINK("https://klasma.github.io/Logging_0127/tillsyn/A 15690-2023 tillsynsbegäran.docx", "A 15690-2023")</f>
        <v/>
      </c>
      <c r="AD28">
        <f>HYPERLINK("https://klasma.github.io/Logging_0127/tillsynsmail/A 15690-2023 tillsynsbegäran mail.docx", "A 15690-2023")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46323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46323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46323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46323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46323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46323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45869-2022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46323</v>
      </c>
      <c r="F35" t="inlineStr">
        <is>
          <t>STOCKHOLMS LÄN</t>
        </is>
      </c>
      <c r="G35" t="inlineStr">
        <is>
          <t>BOTKYRKA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46323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46323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46323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46323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46323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46323</v>
      </c>
      <c r="F41" t="inlineStr">
        <is>
          <t>STOCKHOLMS LÄN</t>
        </is>
      </c>
      <c r="G41" t="inlineStr">
        <is>
          <t>BOTKYRKA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46323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46323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45678</v>
      </c>
      <c r="E44" s="1" t="n">
        <v>46323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46323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46323</v>
      </c>
      <c r="F46" t="inlineStr">
        <is>
          <t>STOCKHOLMS LÄN</t>
        </is>
      </c>
      <c r="G46" t="inlineStr">
        <is>
          <t>BOTKYRKA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46323</v>
      </c>
      <c r="F47" t="inlineStr">
        <is>
          <t>STOCKHOLMS LÄN</t>
        </is>
      </c>
      <c r="G47" t="inlineStr">
        <is>
          <t>BOTKYRKA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73151-2021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46323</v>
      </c>
      <c r="F48" t="inlineStr">
        <is>
          <t>STOCKHOLMS LÄN</t>
        </is>
      </c>
      <c r="G48" t="inlineStr">
        <is>
          <t>BOTKYRKA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73194-2021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46323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46323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46323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46323</v>
      </c>
      <c r="F52" t="inlineStr">
        <is>
          <t>STOCKHOLMS LÄN</t>
        </is>
      </c>
      <c r="G52" t="inlineStr">
        <is>
          <t>BOTKYRKA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46323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44700</v>
      </c>
      <c r="E54" s="1" t="n">
        <v>46323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44599</v>
      </c>
      <c r="E55" s="1" t="n">
        <v>46323</v>
      </c>
      <c r="F55" t="inlineStr">
        <is>
          <t>STOCKHOLMS LÄN</t>
        </is>
      </c>
      <c r="G55" t="inlineStr">
        <is>
          <t>BOTKYRKA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46087</v>
      </c>
      <c r="E56" s="1" t="n">
        <v>46323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46323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46323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46323</v>
      </c>
      <c r="F59" t="inlineStr">
        <is>
          <t>STOCKHOLMS LÄN</t>
        </is>
      </c>
      <c r="G59" t="inlineStr">
        <is>
          <t>BOTKYRKA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46323</v>
      </c>
      <c r="F60" t="inlineStr">
        <is>
          <t>STOCKHOLMS LÄN</t>
        </is>
      </c>
      <c r="G60" t="inlineStr">
        <is>
          <t>BOTKYRKA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46258</v>
      </c>
      <c r="E61" s="1" t="n">
        <v>46323</v>
      </c>
      <c r="F61" t="inlineStr">
        <is>
          <t>STOCKHOLMS LÄN</t>
        </is>
      </c>
      <c r="G61" t="inlineStr">
        <is>
          <t>BOTKYRKA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46323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46323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46323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45113</v>
      </c>
      <c r="E65" s="1" t="n">
        <v>46323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46154</v>
      </c>
      <c r="E66" s="1" t="n">
        <v>46323</v>
      </c>
      <c r="F66" t="inlineStr">
        <is>
          <t>STOCKHOLMS LÄN</t>
        </is>
      </c>
      <c r="G66" t="inlineStr">
        <is>
          <t>BOTKYRKA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46323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46323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46323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46190</v>
      </c>
      <c r="E70" s="1" t="n">
        <v>46323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46323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2026-10-28T03:15:16Z</dcterms:created>
  <dcterms:modified xmlns:dcterms="http://purl.org/dc/terms/" xmlns:xsi="http://www.w3.org/2001/XMLSchema-instance" xsi:type="dcterms:W3CDTF">2026-10-28T03:15:16Z</dcterms:modified>
</cp:coreProperties>
</file>