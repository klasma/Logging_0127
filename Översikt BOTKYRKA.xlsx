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46186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46186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46186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46186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46186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46186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46186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46186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46186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46186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46186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46186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46186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46186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46186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12305-2026</t>
        </is>
      </c>
      <c r="B17" s="1" t="n">
        <v>46087.57827546296</v>
      </c>
      <c r="C17" s="1" t="n">
        <v>46186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12305-2026 artfynd.xlsx", "A 12305-2026")</f>
        <v/>
      </c>
      <c r="T17">
        <f>HYPERLINK("https://klasma.github.io/Logging_0127/kartor/A 12305-2026 karta.png", "A 12305-2026")</f>
        <v/>
      </c>
      <c r="V17">
        <f>HYPERLINK("https://klasma.github.io/Logging_0127/klagomål/A 12305-2026 FSC-klagomål.docx", "A 12305-2026")</f>
        <v/>
      </c>
      <c r="W17">
        <f>HYPERLINK("https://klasma.github.io/Logging_0127/klagomålsmail/A 12305-2026 FSC-klagomål mail.docx", "A 12305-2026")</f>
        <v/>
      </c>
      <c r="X17">
        <f>HYPERLINK("https://klasma.github.io/Logging_0127/tillsyn/A 12305-2026 tillsynsbegäran.docx", "A 12305-2026")</f>
        <v/>
      </c>
      <c r="Y17">
        <f>HYPERLINK("https://klasma.github.io/Logging_0127/tillsynsmail/A 12305-2026 tillsynsbegäran mail.docx", "A 12305-2026")</f>
        <v/>
      </c>
      <c r="Z17">
        <f>HYPERLINK("https://klasma.github.io/Logging_0127/fåglar/A 12305-2026 prioriterade fågelarter.docx", "A 12305-2026")</f>
        <v/>
      </c>
    </row>
    <row r="18" ht="15" customHeight="1">
      <c r="A18" t="inlineStr">
        <is>
          <t>A 12590-2026</t>
        </is>
      </c>
      <c r="B18" s="1" t="n">
        <v>46090.73949074074</v>
      </c>
      <c r="C18" s="1" t="n">
        <v>46186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HYPERLINK("https://klasma.github.io/Logging_0127/artfynd/A 12590-2026 artfynd.xlsx", "A 12590-2026")</f>
        <v/>
      </c>
      <c r="T18">
        <f>HYPERLINK("https://klasma.github.io/Logging_0127/kartor/A 12590-2026 karta.png", "A 12590-2026")</f>
        <v/>
      </c>
      <c r="V18">
        <f>HYPERLINK("https://klasma.github.io/Logging_0127/klagomål/A 12590-2026 FSC-klagomål.docx", "A 12590-2026")</f>
        <v/>
      </c>
      <c r="W18">
        <f>HYPERLINK("https://klasma.github.io/Logging_0127/klagomålsmail/A 12590-2026 FSC-klagomål mail.docx", "A 12590-2026")</f>
        <v/>
      </c>
      <c r="X18">
        <f>HYPERLINK("https://klasma.github.io/Logging_0127/tillsyn/A 12590-2026 tillsynsbegäran.docx", "A 12590-2026")</f>
        <v/>
      </c>
      <c r="Y18">
        <f>HYPERLINK("https://klasma.github.io/Logging_0127/tillsynsmail/A 12590-2026 tillsynsbegäran mail.docx", "A 12590-2026")</f>
        <v/>
      </c>
      <c r="Z18">
        <f>HYPERLINK("https://klasma.github.io/Logging_0127/fåglar/A 12590-2026 prioriterade fågelarter.docx", "A 12590-2026")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46186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12842-2026</t>
        </is>
      </c>
      <c r="B20" s="1" t="n">
        <v>46092.44197916667</v>
      </c>
      <c r="C20" s="1" t="n">
        <v>46186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Fyrflikig jordstjärna</t>
        </is>
      </c>
      <c r="S20">
        <f>HYPERLINK("https://klasma.github.io/Logging_0127/artfynd/A 12842-2026 artfynd.xlsx", "A 12842-2026")</f>
        <v/>
      </c>
      <c r="T20">
        <f>HYPERLINK("https://klasma.github.io/Logging_0127/kartor/A 12842-2026 karta.png", "A 12842-2026")</f>
        <v/>
      </c>
      <c r="V20">
        <f>HYPERLINK("https://klasma.github.io/Logging_0127/klagomål/A 12842-2026 FSC-klagomål.docx", "A 12842-2026")</f>
        <v/>
      </c>
      <c r="W20">
        <f>HYPERLINK("https://klasma.github.io/Logging_0127/klagomålsmail/A 12842-2026 FSC-klagomål mail.docx", "A 12842-2026")</f>
        <v/>
      </c>
      <c r="X20">
        <f>HYPERLINK("https://klasma.github.io/Logging_0127/tillsyn/A 12842-2026 tillsynsbegäran.docx", "A 12842-2026")</f>
        <v/>
      </c>
      <c r="Y20">
        <f>HYPERLINK("https://klasma.github.io/Logging_0127/tillsynsmail/A 12842-2026 tillsynsbegäran mail.docx", "A 12842-2026")</f>
        <v/>
      </c>
    </row>
    <row r="21" ht="15" customHeight="1">
      <c r="A21" t="inlineStr">
        <is>
          <t>A 3726-2022</t>
        </is>
      </c>
      <c r="B21" s="1" t="n">
        <v>44586</v>
      </c>
      <c r="C21" s="1" t="n">
        <v>46186</v>
      </c>
      <c r="D21" t="inlineStr">
        <is>
          <t>STOCKHOLMS LÄN</t>
        </is>
      </c>
      <c r="E21" t="inlineStr">
        <is>
          <t>BOTKYRKA</t>
        </is>
      </c>
      <c r="G21" t="n">
        <v>17.1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HYPERLINK("https://klasma.github.io/Logging_0127/artfynd/A 3726-2022 artfynd.xlsx", "A 3726-2022")</f>
        <v/>
      </c>
      <c r="T21">
        <f>HYPERLINK("https://klasma.github.io/Logging_0127/kartor/A 3726-2022 karta.png", "A 3726-2022")</f>
        <v/>
      </c>
      <c r="V21">
        <f>HYPERLINK("https://klasma.github.io/Logging_0127/klagomål/A 3726-2022 FSC-klagomål.docx", "A 3726-2022")</f>
        <v/>
      </c>
      <c r="W21">
        <f>HYPERLINK("https://klasma.github.io/Logging_0127/klagomålsmail/A 3726-2022 FSC-klagomål mail.docx", "A 3726-2022")</f>
        <v/>
      </c>
      <c r="X21">
        <f>HYPERLINK("https://klasma.github.io/Logging_0127/tillsyn/A 3726-2022 tillsynsbegäran.docx", "A 3726-2022")</f>
        <v/>
      </c>
      <c r="Y21">
        <f>HYPERLINK("https://klasma.github.io/Logging_0127/tillsynsmail/A 3726-2022 tillsynsbegäran mail.docx", "A 3726-2022")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46186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46186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3681-2022</t>
        </is>
      </c>
      <c r="B24" s="1" t="n">
        <v>44586</v>
      </c>
      <c r="C24" s="1" t="n">
        <v>46186</v>
      </c>
      <c r="D24" t="inlineStr">
        <is>
          <t>STOCKHOLMS LÄN</t>
        </is>
      </c>
      <c r="E24" t="inlineStr">
        <is>
          <t>BOTKYRKA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48667-2022</t>
        </is>
      </c>
      <c r="B25" s="1" t="n">
        <v>44859</v>
      </c>
      <c r="C25" s="1" t="n">
        <v>46186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32828-2022</t>
        </is>
      </c>
      <c r="B26" s="1" t="n">
        <v>44784</v>
      </c>
      <c r="C26" s="1" t="n">
        <v>46186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46186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46186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46186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46186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46186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46186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14202-2025</t>
        </is>
      </c>
      <c r="B33" s="1" t="n">
        <v>45740.57461805556</v>
      </c>
      <c r="C33" s="1" t="n">
        <v>46186</v>
      </c>
      <c r="D33" t="inlineStr">
        <is>
          <t>STOCKHOLMS LÄN</t>
        </is>
      </c>
      <c r="E33" t="inlineStr">
        <is>
          <t>BOTKYRKA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46186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46186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46186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15690-2023</t>
        </is>
      </c>
      <c r="B37" s="1" t="n">
        <v>45020</v>
      </c>
      <c r="C37" s="1" t="n">
        <v>46186</v>
      </c>
      <c r="D37" t="inlineStr">
        <is>
          <t>STOCKHOLMS LÄN</t>
        </is>
      </c>
      <c r="E37" t="inlineStr">
        <is>
          <t>BOTKYRKA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50474-2025</t>
        </is>
      </c>
      <c r="B38" s="1" t="n">
        <v>45945.36526620371</v>
      </c>
      <c r="C38" s="1" t="n">
        <v>46186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54468-2025</t>
        </is>
      </c>
      <c r="B39" s="1" t="n">
        <v>45965</v>
      </c>
      <c r="C39" s="1" t="n">
        <v>46186</v>
      </c>
      <c r="D39" t="inlineStr">
        <is>
          <t>STOCKHOLMS LÄN</t>
        </is>
      </c>
      <c r="E39" t="inlineStr">
        <is>
          <t>BOTKYRKA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14217-2025</t>
        </is>
      </c>
      <c r="B40" s="1" t="n">
        <v>45740.58534722222</v>
      </c>
      <c r="C40" s="1" t="n">
        <v>46186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16142-2024</t>
        </is>
      </c>
      <c r="B41" s="1" t="n">
        <v>45406</v>
      </c>
      <c r="C41" s="1" t="n">
        <v>46186</v>
      </c>
      <c r="D41" t="inlineStr">
        <is>
          <t>STOCKHOLMS LÄN</t>
        </is>
      </c>
      <c r="E41" t="inlineStr">
        <is>
          <t>BOTKYRKA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11876-2024</t>
        </is>
      </c>
      <c r="B42" s="1" t="n">
        <v>45376.47072916666</v>
      </c>
      <c r="C42" s="1" t="n">
        <v>46186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46186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46186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46186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16483-2023</t>
        </is>
      </c>
      <c r="B46" s="1" t="n">
        <v>45029</v>
      </c>
      <c r="C46" s="1" t="n">
        <v>46186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46405-2022</t>
        </is>
      </c>
      <c r="B47" s="1" t="n">
        <v>44846</v>
      </c>
      <c r="C47" s="1" t="n">
        <v>46186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46186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12306-2026</t>
        </is>
      </c>
      <c r="B49" s="1" t="n">
        <v>46087.57949074074</v>
      </c>
      <c r="C49" s="1" t="n">
        <v>46186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46186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12294-2026</t>
        </is>
      </c>
      <c r="B51" s="1" t="n">
        <v>46087.55737268519</v>
      </c>
      <c r="C51" s="1" t="n">
        <v>46186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45869-2022</t>
        </is>
      </c>
      <c r="B52" s="1" t="n">
        <v>44844</v>
      </c>
      <c r="C52" s="1" t="n">
        <v>46186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3686-2022</t>
        </is>
      </c>
      <c r="B53" s="1" t="n">
        <v>44586.57239583333</v>
      </c>
      <c r="C53" s="1" t="n">
        <v>46186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15692-2023</t>
        </is>
      </c>
      <c r="B54" s="1" t="n">
        <v>45020</v>
      </c>
      <c r="C54" s="1" t="n">
        <v>46186</v>
      </c>
      <c r="D54" t="inlineStr">
        <is>
          <t>STOCKHOLMS LÄN</t>
        </is>
      </c>
      <c r="E54" t="inlineStr">
        <is>
          <t>BOTKYRKA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46186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22391-2026</t>
        </is>
      </c>
      <c r="B56" s="1" t="n">
        <v>46154.64201388889</v>
      </c>
      <c r="C56" s="1" t="n">
        <v>46186</v>
      </c>
      <c r="D56" t="inlineStr">
        <is>
          <t>STOCKHOLMS LÄN</t>
        </is>
      </c>
      <c r="E56" t="inlineStr">
        <is>
          <t>BOTKYRKA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9032-2023</t>
        </is>
      </c>
      <c r="B57" s="1" t="n">
        <v>44979</v>
      </c>
      <c r="C57" s="1" t="n">
        <v>46186</v>
      </c>
      <c r="D57" t="inlineStr">
        <is>
          <t>STOCKHOLMS LÄN</t>
        </is>
      </c>
      <c r="E57" t="inlineStr">
        <is>
          <t>BOTKYRKA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23718-2026</t>
        </is>
      </c>
      <c r="B58" s="1" t="n">
        <v>46164.46760416667</v>
      </c>
      <c r="C58" s="1" t="n">
        <v>46186</v>
      </c>
      <c r="D58" t="inlineStr">
        <is>
          <t>STOCKHOLMS LÄN</t>
        </is>
      </c>
      <c r="E58" t="inlineStr">
        <is>
          <t>BOTKYRKA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73155-2021</t>
        </is>
      </c>
      <c r="B59" s="1" t="n">
        <v>44550</v>
      </c>
      <c r="C59" s="1" t="n">
        <v>46186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23725-2026</t>
        </is>
      </c>
      <c r="B60" s="1" t="n">
        <v>46164.46996527778</v>
      </c>
      <c r="C60" s="1" t="n">
        <v>46186</v>
      </c>
      <c r="D60" t="inlineStr">
        <is>
          <t>STOCKHOLMS LÄN</t>
        </is>
      </c>
      <c r="E60" t="inlineStr">
        <is>
          <t>BOTKYRKA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23716-2026</t>
        </is>
      </c>
      <c r="B61" s="1" t="n">
        <v>46164.46613425926</v>
      </c>
      <c r="C61" s="1" t="n">
        <v>46186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24799-2026</t>
        </is>
      </c>
      <c r="B62" s="1" t="n">
        <v>46171.85594907407</v>
      </c>
      <c r="C62" s="1" t="n">
        <v>46186</v>
      </c>
      <c r="D62" t="inlineStr">
        <is>
          <t>STOCKHOLMS LÄN</t>
        </is>
      </c>
      <c r="E62" t="inlineStr">
        <is>
          <t>BOTKYRKA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48656-2022</t>
        </is>
      </c>
      <c r="B63" s="1" t="n">
        <v>44859.43993055556</v>
      </c>
      <c r="C63" s="1" t="n">
        <v>46186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38194-2022</t>
        </is>
      </c>
      <c r="B64" s="1" t="n">
        <v>44812</v>
      </c>
      <c r="C64" s="1" t="n">
        <v>46186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25306-2026</t>
        </is>
      </c>
      <c r="B65" s="1" t="n">
        <v>46176.47320601852</v>
      </c>
      <c r="C65" s="1" t="n">
        <v>46186</v>
      </c>
      <c r="D65" t="inlineStr">
        <is>
          <t>STOCKHOLMS LÄN</t>
        </is>
      </c>
      <c r="E65" t="inlineStr">
        <is>
          <t>BOTKYRKA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25315-2026</t>
        </is>
      </c>
      <c r="B66" s="1" t="n">
        <v>46176.48607638889</v>
      </c>
      <c r="C66" s="1" t="n">
        <v>46186</v>
      </c>
      <c r="D66" t="inlineStr">
        <is>
          <t>STOCKHOLMS LÄN</t>
        </is>
      </c>
      <c r="E66" t="inlineStr">
        <is>
          <t>BOTKYRKA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25319-2026</t>
        </is>
      </c>
      <c r="B67" s="1" t="n">
        <v>46176.49130787037</v>
      </c>
      <c r="C67" s="1" t="n">
        <v>46186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46186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46186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46186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46186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46186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46186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46186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46186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46186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46186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46186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46186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2026-06-13T09:22:34Z</dcterms:created>
  <dcterms:modified xmlns:dcterms="http://purl.org/dc/terms/" xmlns:xsi="http://www.w3.org/2001/XMLSchema-instance" xsi:type="dcterms:W3CDTF">2026-06-13T09:22:34Z</dcterms:modified>
</cp:coreProperties>
</file>