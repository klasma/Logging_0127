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46309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46309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46309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46309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46309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46309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46309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46309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46309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46309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46309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46309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46309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46309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46309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46309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46309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46309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46309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18100-2022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44684</v>
      </c>
      <c r="E21" s="1" t="n">
        <v>46309</v>
      </c>
      <c r="F21" t="inlineStr">
        <is>
          <t>STOCKHOLMS LÄN</t>
        </is>
      </c>
      <c r="G21" t="inlineStr">
        <is>
          <t>BOTKYRKA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Svart trolldruva
Gullviva</t>
        </is>
      </c>
      <c r="W21">
        <f>HYPERLINK("https://klasma.github.io/Logging_0127/artfynd/A 18100-2022 artfynd.xlsx", "A 18100-2022")</f>
        <v/>
      </c>
      <c r="X21">
        <f>HYPERLINK("https://klasma.github.io/Logging_0127/kartor/A 18100-2022 karta.png", "A 18100-2022")</f>
        <v/>
      </c>
      <c r="Y21">
        <f>HYPERLINK("https://klasma.github.io/Logging_0127/kartor_geotiff/A 18100-2022 georefererad karta.tif", "A 18100-2022")</f>
        <v/>
      </c>
      <c r="AA21">
        <f>HYPERLINK("https://klasma.github.io/Logging_0127/klagomål/A 18100-2022 FSC-klagomål.docx", "A 18100-2022")</f>
        <v/>
      </c>
      <c r="AB21">
        <f>HYPERLINK("https://klasma.github.io/Logging_0127/klagomålsmail/A 18100-2022 FSC-klagomål mail.docx", "A 18100-2022")</f>
        <v/>
      </c>
      <c r="AC21">
        <f>HYPERLINK("https://klasma.github.io/Logging_0127/tillsyn/A 18100-2022 tillsynsbegäran.docx", "A 18100-2022")</f>
        <v/>
      </c>
      <c r="AD21">
        <f>HYPERLINK("https://klasma.github.io/Logging_0127/tillsynsmail/A 18100-2022 tillsynsbegäran mail.docx", "A 18100-2022")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46309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28983-2024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45481</v>
      </c>
      <c r="E23" s="1" t="n">
        <v>46309</v>
      </c>
      <c r="F23" t="inlineStr">
        <is>
          <t>STOCKHOLMS LÄN</t>
        </is>
      </c>
      <c r="G23" t="inlineStr">
        <is>
          <t>BOTKYRKA</t>
        </is>
      </c>
      <c r="I23" t="n">
        <v>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HYPERLINK("https://klasma.github.io/Logging_0127/artfynd/A 28983-2024 artfynd.xlsx", "A 28983-2024")</f>
        <v/>
      </c>
      <c r="X23">
        <f>HYPERLINK("https://klasma.github.io/Logging_0127/kartor/A 28983-2024 karta.png", "A 28983-2024")</f>
        <v/>
      </c>
      <c r="Y23">
        <f>HYPERLINK("https://klasma.github.io/Logging_0127/kartor_geotiff/A 28983-2024 georefererad karta.tif", "A 28983-2024")</f>
        <v/>
      </c>
      <c r="AA23">
        <f>HYPERLINK("https://klasma.github.io/Logging_0127/klagomål/A 28983-2024 FSC-klagomål.docx", "A 28983-2024")</f>
        <v/>
      </c>
      <c r="AB23">
        <f>HYPERLINK("https://klasma.github.io/Logging_0127/klagomålsmail/A 28983-2024 FSC-klagomål mail.docx", "A 28983-2024")</f>
        <v/>
      </c>
      <c r="AC23">
        <f>HYPERLINK("https://klasma.github.io/Logging_0127/tillsyn/A 28983-2024 tillsynsbegäran.docx", "A 28983-2024")</f>
        <v/>
      </c>
      <c r="AD23">
        <f>HYPERLINK("https://klasma.github.io/Logging_0127/tillsynsmail/A 28983-2024 tillsynsbegäran mail.docx", "A 28983-2024")</f>
        <v/>
      </c>
    </row>
    <row r="24" ht="15" customHeight="1">
      <c r="A24" t="inlineStr">
        <is>
          <t>A 61514-2022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44916</v>
      </c>
      <c r="E24" s="1" t="n">
        <v>46309</v>
      </c>
      <c r="F24" t="inlineStr">
        <is>
          <t>STOCKHOLMS LÄN</t>
        </is>
      </c>
      <c r="G24" t="inlineStr">
        <is>
          <t>BOTKYRKA</t>
        </is>
      </c>
      <c r="I24" t="n">
        <v>1.3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groda</t>
        </is>
      </c>
      <c r="W24">
        <f>HYPERLINK("https://klasma.github.io/Logging_0127/artfynd/A 61514-2022 artfynd.xlsx", "A 61514-2022")</f>
        <v/>
      </c>
      <c r="X24">
        <f>HYPERLINK("https://klasma.github.io/Logging_0127/kartor/A 61514-2022 karta.png", "A 61514-2022")</f>
        <v/>
      </c>
      <c r="Y24">
        <f>HYPERLINK("https://klasma.github.io/Logging_0127/kartor_geotiff/A 61514-2022 georefererad karta.tif", "A 61514-2022")</f>
        <v/>
      </c>
      <c r="AA24">
        <f>HYPERLINK("https://klasma.github.io/Logging_0127/klagomål/A 61514-2022 FSC-klagomål.docx", "A 61514-2022")</f>
        <v/>
      </c>
      <c r="AB24">
        <f>HYPERLINK("https://klasma.github.io/Logging_0127/klagomålsmail/A 61514-2022 FSC-klagomål mail.docx", "A 61514-2022")</f>
        <v/>
      </c>
      <c r="AC24">
        <f>HYPERLINK("https://klasma.github.io/Logging_0127/tillsyn/A 61514-2022 tillsynsbegäran.docx", "A 61514-2022")</f>
        <v/>
      </c>
      <c r="AD24">
        <f>HYPERLINK("https://klasma.github.io/Logging_0127/tillsynsmail/A 61514-2022 tillsynsbegäran mail.docx", "A 61514-2022")</f>
        <v/>
      </c>
    </row>
    <row r="25" ht="15" customHeight="1">
      <c r="A25" t="inlineStr">
        <is>
          <t>A 12305-2026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46087</v>
      </c>
      <c r="E25" s="1" t="n">
        <v>46309</v>
      </c>
      <c r="F25" t="inlineStr">
        <is>
          <t>STOCKHOLMS LÄN</t>
        </is>
      </c>
      <c r="G25" t="inlineStr">
        <is>
          <t>BOTKYRKA</t>
        </is>
      </c>
      <c r="H25" t="inlineStr">
        <is>
          <t>Övriga Aktiebolag</t>
        </is>
      </c>
      <c r="I25" t="n">
        <v>2.4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HYPERLINK("https://klasma.github.io/Logging_0127/artfynd/A 12305-2026 artfynd.xlsx", "A 12305-2026")</f>
        <v/>
      </c>
      <c r="X25">
        <f>HYPERLINK("https://klasma.github.io/Logging_0127/kartor/A 12305-2026 karta.png", "A 12305-2026")</f>
        <v/>
      </c>
      <c r="Y25">
        <f>HYPERLINK("https://klasma.github.io/Logging_0127/kartor_geotiff/A 12305-2026 georefererad karta.tif", "A 12305-2026")</f>
        <v/>
      </c>
      <c r="AA25">
        <f>HYPERLINK("https://klasma.github.io/Logging_0127/klagomål/A 12305-2026 FSC-klagomål.docx", "A 12305-2026")</f>
        <v/>
      </c>
      <c r="AB25">
        <f>HYPERLINK("https://klasma.github.io/Logging_0127/klagomålsmail/A 12305-2026 FSC-klagomål mail.docx", "A 12305-2026")</f>
        <v/>
      </c>
      <c r="AC25">
        <f>HYPERLINK("https://klasma.github.io/Logging_0127/tillsyn/A 12305-2026 tillsynsbegäran.docx", "A 12305-2026")</f>
        <v/>
      </c>
      <c r="AD25">
        <f>HYPERLINK("https://klasma.github.io/Logging_0127/tillsynsmail/A 12305-2026 tillsynsbegäran mail.docx", "A 12305-2026")</f>
        <v/>
      </c>
      <c r="AE25">
        <f>HYPERLINK("https://klasma.github.io/Logging_0127/fåglar/A 12305-2026 prioriterade fågelarter.docx", "A 12305-2026")</f>
        <v/>
      </c>
    </row>
    <row r="26" ht="15" customHeight="1">
      <c r="A26" t="inlineStr">
        <is>
          <t>A 12590-2026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46090</v>
      </c>
      <c r="E26" s="1" t="n">
        <v>46309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hackspett</t>
        </is>
      </c>
      <c r="W26">
        <f>HYPERLINK("https://klasma.github.io/Logging_0127/artfynd/A 12590-2026 artfynd.xlsx", "A 12590-2026")</f>
        <v/>
      </c>
      <c r="X26">
        <f>HYPERLINK("https://klasma.github.io/Logging_0127/kartor/A 12590-2026 karta.png", "A 12590-2026")</f>
        <v/>
      </c>
      <c r="Y26">
        <f>HYPERLINK("https://klasma.github.io/Logging_0127/kartor_geotiff/A 12590-2026 georefererad karta.tif", "A 12590-2026")</f>
        <v/>
      </c>
      <c r="AA26">
        <f>HYPERLINK("https://klasma.github.io/Logging_0127/klagomål/A 12590-2026 FSC-klagomål.docx", "A 12590-2026")</f>
        <v/>
      </c>
      <c r="AB26">
        <f>HYPERLINK("https://klasma.github.io/Logging_0127/klagomålsmail/A 12590-2026 FSC-klagomål mail.docx", "A 12590-2026")</f>
        <v/>
      </c>
      <c r="AC26">
        <f>HYPERLINK("https://klasma.github.io/Logging_0127/tillsyn/A 12590-2026 tillsynsbegäran.docx", "A 12590-2026")</f>
        <v/>
      </c>
      <c r="AD26">
        <f>HYPERLINK("https://klasma.github.io/Logging_0127/tillsynsmail/A 12590-2026 tillsynsbegäran mail.docx", "A 12590-2026")</f>
        <v/>
      </c>
      <c r="AE26">
        <f>HYPERLINK("https://klasma.github.io/Logging_0127/fåglar/A 12590-2026 prioriterade fågelarter.docx", "A 12590-2026")</f>
        <v/>
      </c>
    </row>
    <row r="27" ht="15" customHeight="1">
      <c r="A27" t="inlineStr">
        <is>
          <t>A 12842-2026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46092</v>
      </c>
      <c r="E27" s="1" t="n">
        <v>46309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Fyrflikig jordstjärna</t>
        </is>
      </c>
      <c r="W27">
        <f>HYPERLINK("https://klasma.github.io/Logging_0127/artfynd/A 12842-2026 artfynd.xlsx", "A 12842-2026")</f>
        <v/>
      </c>
      <c r="X27">
        <f>HYPERLINK("https://klasma.github.io/Logging_0127/kartor/A 12842-2026 karta.png", "A 12842-2026")</f>
        <v/>
      </c>
      <c r="Y27">
        <f>HYPERLINK("https://klasma.github.io/Logging_0127/kartor_geotiff/A 12842-2026 georefererad karta.tif", "A 12842-2026")</f>
        <v/>
      </c>
      <c r="AA27">
        <f>HYPERLINK("https://klasma.github.io/Logging_0127/klagomål/A 12842-2026 FSC-klagomål.docx", "A 12842-2026")</f>
        <v/>
      </c>
      <c r="AB27">
        <f>HYPERLINK("https://klasma.github.io/Logging_0127/klagomålsmail/A 12842-2026 FSC-klagomål mail.docx", "A 12842-2026")</f>
        <v/>
      </c>
      <c r="AC27">
        <f>HYPERLINK("https://klasma.github.io/Logging_0127/tillsyn/A 12842-2026 tillsynsbegäran.docx", "A 12842-2026")</f>
        <v/>
      </c>
      <c r="AD27">
        <f>HYPERLINK("https://klasma.github.io/Logging_0127/tillsynsmail/A 12842-2026 tillsynsbegäran mail.docx", "A 12842-2026")</f>
        <v/>
      </c>
    </row>
    <row r="28" ht="15" customHeight="1">
      <c r="A28" t="inlineStr">
        <is>
          <t>A 14214-2025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46309</v>
      </c>
      <c r="F28" t="inlineStr">
        <is>
          <t>STOCKHOLMS LÄN</t>
        </is>
      </c>
      <c r="G28" t="inlineStr">
        <is>
          <t>BOTKYRKA</t>
        </is>
      </c>
      <c r="I28" t="n">
        <v>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Stare</t>
        </is>
      </c>
      <c r="W28">
        <f>HYPERLINK("https://klasma.github.io/Logging_0127/artfynd/A 14214-2025 artfynd.xlsx", "A 14214-2025")</f>
        <v/>
      </c>
      <c r="X28">
        <f>HYPERLINK("https://klasma.github.io/Logging_0127/kartor/A 14214-2025 karta.png", "A 14214-2025")</f>
        <v/>
      </c>
      <c r="Y28">
        <f>HYPERLINK("https://klasma.github.io/Logging_0127/kartor_geotiff/A 14214-2025 georefererad karta.tif", "A 14214-2025")</f>
        <v/>
      </c>
      <c r="AA28">
        <f>HYPERLINK("https://klasma.github.io/Logging_0127/klagomål/A 14214-2025 FSC-klagomål.docx", "A 14214-2025")</f>
        <v/>
      </c>
      <c r="AB28">
        <f>HYPERLINK("https://klasma.github.io/Logging_0127/klagomålsmail/A 14214-2025 FSC-klagomål mail.docx", "A 14214-2025")</f>
        <v/>
      </c>
      <c r="AC28">
        <f>HYPERLINK("https://klasma.github.io/Logging_0127/tillsyn/A 14214-2025 tillsynsbegäran.docx", "A 14214-2025")</f>
        <v/>
      </c>
      <c r="AD28">
        <f>HYPERLINK("https://klasma.github.io/Logging_0127/tillsynsmail/A 14214-2025 tillsynsbegäran mail.docx", "A 14214-2025")</f>
        <v/>
      </c>
      <c r="AE28">
        <f>HYPERLINK("https://klasma.github.io/Logging_0127/fåglar/A 14214-2025 prioriterade fågelarter.docx", "A 14214-2025")</f>
        <v/>
      </c>
    </row>
    <row r="29" ht="15" customHeight="1">
      <c r="A29" t="inlineStr">
        <is>
          <t>A 1691-2023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44938</v>
      </c>
      <c r="E29" s="1" t="n">
        <v>46309</v>
      </c>
      <c r="F29" t="inlineStr">
        <is>
          <t>STOCKHOLMS LÄN</t>
        </is>
      </c>
      <c r="G29" t="inlineStr">
        <is>
          <t>BOTKYRKA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HYPERLINK("https://klasma.github.io/Logging_0127/artfynd/A 1691-2023 artfynd.xlsx", "A 1691-2023")</f>
        <v/>
      </c>
      <c r="X29">
        <f>HYPERLINK("https://klasma.github.io/Logging_0127/kartor/A 1691-2023 karta.png", "A 1691-2023")</f>
        <v/>
      </c>
      <c r="Y29">
        <f>HYPERLINK("https://klasma.github.io/Logging_0127/kartor_geotiff/A 1691-2023 georefererad karta.tif", "A 1691-2023")</f>
        <v/>
      </c>
      <c r="AA29">
        <f>HYPERLINK("https://klasma.github.io/Logging_0127/klagomål/A 1691-2023 FSC-klagomål.docx", "A 1691-2023")</f>
        <v/>
      </c>
      <c r="AB29">
        <f>HYPERLINK("https://klasma.github.io/Logging_0127/klagomålsmail/A 1691-2023 FSC-klagomål mail.docx", "A 1691-2023")</f>
        <v/>
      </c>
      <c r="AC29">
        <f>HYPERLINK("https://klasma.github.io/Logging_0127/tillsyn/A 1691-2023 tillsynsbegäran.docx", "A 1691-2023")</f>
        <v/>
      </c>
      <c r="AD29">
        <f>HYPERLINK("https://klasma.github.io/Logging_0127/tillsynsmail/A 1691-2023 tillsynsbegäran mail.docx", "A 1691-2023")</f>
        <v/>
      </c>
    </row>
    <row r="30" ht="15" customHeight="1">
      <c r="A30" t="inlineStr">
        <is>
          <t>A 3726-2022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44586</v>
      </c>
      <c r="E30" s="1" t="n">
        <v>46309</v>
      </c>
      <c r="F30" t="inlineStr">
        <is>
          <t>STOCKHOLMS LÄN</t>
        </is>
      </c>
      <c r="G30" t="inlineStr">
        <is>
          <t>BOTKYRKA</t>
        </is>
      </c>
      <c r="I30" t="n">
        <v>17.1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Blomkålssvamp</t>
        </is>
      </c>
      <c r="W30">
        <f>HYPERLINK("https://klasma.github.io/Logging_0127/artfynd/A 3726-2022 artfynd.xlsx", "A 3726-2022")</f>
        <v/>
      </c>
      <c r="X30">
        <f>HYPERLINK("https://klasma.github.io/Logging_0127/kartor/A 3726-2022 karta.png", "A 3726-2022")</f>
        <v/>
      </c>
      <c r="Y30">
        <f>HYPERLINK("https://klasma.github.io/Logging_0127/kartor_geotiff/A 3726-2022 georefererad karta.tif", "A 3726-2022")</f>
        <v/>
      </c>
      <c r="AA30">
        <f>HYPERLINK("https://klasma.github.io/Logging_0127/klagomål/A 3726-2022 FSC-klagomål.docx", "A 3726-2022")</f>
        <v/>
      </c>
      <c r="AB30">
        <f>HYPERLINK("https://klasma.github.io/Logging_0127/klagomålsmail/A 3726-2022 FSC-klagomål mail.docx", "A 3726-2022")</f>
        <v/>
      </c>
      <c r="AC30">
        <f>HYPERLINK("https://klasma.github.io/Logging_0127/tillsyn/A 3726-2022 tillsynsbegäran.docx", "A 3726-2022")</f>
        <v/>
      </c>
      <c r="AD30">
        <f>HYPERLINK("https://klasma.github.io/Logging_0127/tillsynsmail/A 3726-2022 tillsynsbegäran mail.docx", "A 3726-2022")</f>
        <v/>
      </c>
    </row>
    <row r="31" ht="15" customHeight="1">
      <c r="A31" t="inlineStr">
        <is>
          <t>A 15690-2023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45020</v>
      </c>
      <c r="E31" s="1" t="n">
        <v>46309</v>
      </c>
      <c r="F31" t="inlineStr">
        <is>
          <t>STOCKHOLMS LÄN</t>
        </is>
      </c>
      <c r="G31" t="inlineStr">
        <is>
          <t>BOTKYRKA</t>
        </is>
      </c>
      <c r="I31" t="n">
        <v>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HYPERLINK("https://klasma.github.io/Logging_0127/artfynd/A 15690-2023 artfynd.xlsx", "A 15690-2023")</f>
        <v/>
      </c>
      <c r="X31">
        <f>HYPERLINK("https://klasma.github.io/Logging_0127/kartor/A 15690-2023 karta.png", "A 15690-2023")</f>
        <v/>
      </c>
      <c r="Y31">
        <f>HYPERLINK("https://klasma.github.io/Logging_0127/kartor_geotiff/A 15690-2023 georefererad karta.tif", "A 15690-2023")</f>
        <v/>
      </c>
      <c r="AA31">
        <f>HYPERLINK("https://klasma.github.io/Logging_0127/klagomål/A 15690-2023 FSC-klagomål.docx", "A 15690-2023")</f>
        <v/>
      </c>
      <c r="AB31">
        <f>HYPERLINK("https://klasma.github.io/Logging_0127/klagomålsmail/A 15690-2023 FSC-klagomål mail.docx", "A 15690-2023")</f>
        <v/>
      </c>
      <c r="AC31">
        <f>HYPERLINK("https://klasma.github.io/Logging_0127/tillsyn/A 15690-2023 tillsynsbegäran.docx", "A 15690-2023")</f>
        <v/>
      </c>
      <c r="AD31">
        <f>HYPERLINK("https://klasma.github.io/Logging_0127/tillsynsmail/A 15690-2023 tillsynsbegäran mail.docx", "A 15690-2023")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46309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46309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46309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73772-2021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46309</v>
      </c>
      <c r="F35" t="inlineStr">
        <is>
          <t>STOCKHOLMS LÄN</t>
        </is>
      </c>
      <c r="G35" t="inlineStr">
        <is>
          <t>BOTKYRKA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46309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46309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46309</v>
      </c>
      <c r="F38" t="inlineStr">
        <is>
          <t>STOCKHOLMS LÄN</t>
        </is>
      </c>
      <c r="G38" t="inlineStr">
        <is>
          <t>BOTKYRKA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46309</v>
      </c>
      <c r="F39" t="inlineStr">
        <is>
          <t>STOCKHOLMS LÄN</t>
        </is>
      </c>
      <c r="G39" t="inlineStr">
        <is>
          <t>BOTKYRKA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38194-2022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46309</v>
      </c>
      <c r="F40" t="inlineStr">
        <is>
          <t>STOCKHOLMS LÄN</t>
        </is>
      </c>
      <c r="G40" t="inlineStr">
        <is>
          <t>BOTKYRKA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73155-2021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44550</v>
      </c>
      <c r="E41" s="1" t="n">
        <v>46309</v>
      </c>
      <c r="F41" t="inlineStr">
        <is>
          <t>STOCKHOLMS LÄN</t>
        </is>
      </c>
      <c r="G41" t="inlineStr">
        <is>
          <t>BOTKYRKA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15692-2023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45020</v>
      </c>
      <c r="E42" s="1" t="n">
        <v>46309</v>
      </c>
      <c r="F42" t="inlineStr">
        <is>
          <t>STOCKHOLMS LÄN</t>
        </is>
      </c>
      <c r="G42" t="inlineStr">
        <is>
          <t>BOTKYRKA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54468-2025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45965</v>
      </c>
      <c r="E43" s="1" t="n">
        <v>46309</v>
      </c>
      <c r="F43" t="inlineStr">
        <is>
          <t>STOCKHOLMS LÄN</t>
        </is>
      </c>
      <c r="G43" t="inlineStr">
        <is>
          <t>BOTKYRKA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14202-2025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46309</v>
      </c>
      <c r="F44" t="inlineStr">
        <is>
          <t>STOCKHOLMS LÄN</t>
        </is>
      </c>
      <c r="G44" t="inlineStr">
        <is>
          <t>BOTKYRKA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21285-2023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45062</v>
      </c>
      <c r="E45" s="1" t="n">
        <v>46309</v>
      </c>
      <c r="F45" t="inlineStr">
        <is>
          <t>STOCKHOLMS LÄN</t>
        </is>
      </c>
      <c r="G45" t="inlineStr">
        <is>
          <t>BOTKYRKA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12306-2026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46087</v>
      </c>
      <c r="E46" s="1" t="n">
        <v>46309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12294-2026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46309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45678</v>
      </c>
      <c r="E48" s="1" t="n">
        <v>46309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11867-2024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45376</v>
      </c>
      <c r="E49" s="1" t="n">
        <v>46309</v>
      </c>
      <c r="F49" t="inlineStr">
        <is>
          <t>STOCKHOLMS LÄN</t>
        </is>
      </c>
      <c r="G49" t="inlineStr">
        <is>
          <t>BOTKYRKA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73151-2021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44550</v>
      </c>
      <c r="E50" s="1" t="n">
        <v>46309</v>
      </c>
      <c r="F50" t="inlineStr">
        <is>
          <t>STOCKHOLMS LÄN</t>
        </is>
      </c>
      <c r="G50" t="inlineStr">
        <is>
          <t>BOTKYRKA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73194-2021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46309</v>
      </c>
      <c r="F51" t="inlineStr">
        <is>
          <t>STOCKHOLMS LÄN</t>
        </is>
      </c>
      <c r="G51" t="inlineStr">
        <is>
          <t>BOTKYRKA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22391-2026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46154</v>
      </c>
      <c r="E52" s="1" t="n">
        <v>46309</v>
      </c>
      <c r="F52" t="inlineStr">
        <is>
          <t>STOCKHOLMS LÄN</t>
        </is>
      </c>
      <c r="G52" t="inlineStr">
        <is>
          <t>BOTKYRKA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23725-2026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46164</v>
      </c>
      <c r="E53" s="1" t="n">
        <v>46309</v>
      </c>
      <c r="F53" t="inlineStr">
        <is>
          <t>STOCKHOLMS LÄN</t>
        </is>
      </c>
      <c r="G53" t="inlineStr">
        <is>
          <t>BOTKYRKA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23718-2026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46164</v>
      </c>
      <c r="E54" s="1" t="n">
        <v>46309</v>
      </c>
      <c r="F54" t="inlineStr">
        <is>
          <t>STOCKHOLMS LÄN</t>
        </is>
      </c>
      <c r="G54" t="inlineStr">
        <is>
          <t>BOTKYRKA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23716-2026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46309</v>
      </c>
      <c r="F55" t="inlineStr">
        <is>
          <t>STOCKHOLMS LÄN</t>
        </is>
      </c>
      <c r="G55" t="inlineStr">
        <is>
          <t>BOTKYRKA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20649-2022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44700</v>
      </c>
      <c r="E56" s="1" t="n">
        <v>46309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27717-2026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46190</v>
      </c>
      <c r="E57" s="1" t="n">
        <v>46309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44599</v>
      </c>
      <c r="E58" s="1" t="n">
        <v>46309</v>
      </c>
      <c r="F58" t="inlineStr">
        <is>
          <t>STOCKHOLMS LÄN</t>
        </is>
      </c>
      <c r="G58" t="inlineStr">
        <is>
          <t>BOTKYRKA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8528-2024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45355</v>
      </c>
      <c r="E59" s="1" t="n">
        <v>46309</v>
      </c>
      <c r="F59" t="inlineStr">
        <is>
          <t>STOCKHOLMS LÄN</t>
        </is>
      </c>
      <c r="G59" t="inlineStr">
        <is>
          <t>BOTKYRKA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46309</v>
      </c>
      <c r="F60" t="inlineStr">
        <is>
          <t>STOCKHOLMS LÄN</t>
        </is>
      </c>
      <c r="G60" t="inlineStr">
        <is>
          <t>BOTKYRKA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44979</v>
      </c>
      <c r="E61" s="1" t="n">
        <v>46309</v>
      </c>
      <c r="F61" t="inlineStr">
        <is>
          <t>STOCKHOLMS LÄN</t>
        </is>
      </c>
      <c r="G61" t="inlineStr">
        <is>
          <t>BOTKYRKA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25217-2024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45462</v>
      </c>
      <c r="E62" s="1" t="n">
        <v>46309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45029</v>
      </c>
      <c r="E63" s="1" t="n">
        <v>46309</v>
      </c>
      <c r="F63" t="inlineStr">
        <is>
          <t>STOCKHOLMS LÄN</t>
        </is>
      </c>
      <c r="G63" t="inlineStr">
        <is>
          <t>BOTKYRKA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30622-2024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45495</v>
      </c>
      <c r="E64" s="1" t="n">
        <v>46309</v>
      </c>
      <c r="F64" t="inlineStr">
        <is>
          <t>STOCKHOLMS LÄN</t>
        </is>
      </c>
      <c r="G64" t="inlineStr">
        <is>
          <t>BOTKYRKA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30925-2023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45113</v>
      </c>
      <c r="E65" s="1" t="n">
        <v>46309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45869-2022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44844</v>
      </c>
      <c r="E66" s="1" t="n">
        <v>46309</v>
      </c>
      <c r="F66" t="inlineStr">
        <is>
          <t>STOCKHOLMS LÄN</t>
        </is>
      </c>
      <c r="G66" t="inlineStr">
        <is>
          <t>BOTKYRKA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14217-2025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45740</v>
      </c>
      <c r="E67" s="1" t="n">
        <v>46309</v>
      </c>
      <c r="F67" t="inlineStr">
        <is>
          <t>STOCKHOLMS LÄN</t>
        </is>
      </c>
      <c r="G67" t="inlineStr">
        <is>
          <t>BOTKYRKA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11876-2024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45376</v>
      </c>
      <c r="E68" s="1" t="n">
        <v>46309</v>
      </c>
      <c r="F68" t="inlineStr">
        <is>
          <t>STOCKHOLMS LÄN</t>
        </is>
      </c>
      <c r="G68" t="inlineStr">
        <is>
          <t>BOTKYRKA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46309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46258</v>
      </c>
      <c r="E70" s="1" t="n">
        <v>46309</v>
      </c>
      <c r="F70" t="inlineStr">
        <is>
          <t>STOCKHOLMS LÄN</t>
        </is>
      </c>
      <c r="G70" t="inlineStr">
        <is>
          <t>BOTKYRKA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46309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2026-10-14T02:06:30Z</dcterms:created>
  <dcterms:modified xmlns:dcterms="http://purl.org/dc/terms/" xmlns:xsi="http://www.w3.org/2001/XMLSchema-instance" xsi:type="dcterms:W3CDTF">2026-10-14T02:06:30Z</dcterms:modified>
</cp:coreProperties>
</file>