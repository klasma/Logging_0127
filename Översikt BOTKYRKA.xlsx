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46283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46283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46283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46283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46283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12818-2026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46092</v>
      </c>
      <c r="E7" s="1" t="n">
        <v>46283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0.9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13</v>
      </c>
      <c r="U7" t="n">
        <v>3</v>
      </c>
      <c r="V7" s="2" t="inlineStr">
        <is>
          <t>Motaggsvamp
Vintertagging
Blomkålssvamp
Blåmossa
Grovticka
Nattskärra
Tofsmes
Kungsfågel</t>
        </is>
      </c>
      <c r="W7">
        <f>HYPERLINK("https://klasma.github.io/Logging_0127/artfynd/A 12818-2026 artfynd.xlsx", "A 12818-2026")</f>
        <v/>
      </c>
      <c r="X7">
        <f>HYPERLINK("https://klasma.github.io/Logging_0127/kartor/A 12818-2026 karta.png", "A 12818-2026")</f>
        <v/>
      </c>
      <c r="Y7">
        <f>HYPERLINK("https://klasma.github.io/Logging_0127/kartor_geotiff/A 12818-2026 georefererad karta.tif", "A 12818-2026")</f>
        <v/>
      </c>
      <c r="AA7">
        <f>HYPERLINK("https://klasma.github.io/Logging_0127/klagomål/A 12818-2026 FSC-klagomål.docx", "A 12818-2026")</f>
        <v/>
      </c>
      <c r="AB7">
        <f>HYPERLINK("https://klasma.github.io/Logging_0127/klagomålsmail/A 12818-2026 FSC-klagomål mail.docx", "A 12818-2026")</f>
        <v/>
      </c>
      <c r="AC7">
        <f>HYPERLINK("https://klasma.github.io/Logging_0127/tillsyn/A 12818-2026 tillsynsbegäran.docx", "A 12818-2026")</f>
        <v/>
      </c>
      <c r="AD7">
        <f>HYPERLINK("https://klasma.github.io/Logging_0127/tillsynsmail/A 12818-2026 tillsynsbegäran mail.docx", "A 12818-2026")</f>
        <v/>
      </c>
      <c r="AE7">
        <f>HYPERLINK("https://klasma.github.io/Logging_0127/fåglar/A 12818-2026 prioriterade fågelarter.docx", "A 12818-2026")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46283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46283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46283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46283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46283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46283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24799-2026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46283</v>
      </c>
      <c r="F18" t="inlineStr">
        <is>
          <t>STOCKHOLMS LÄN</t>
        </is>
      </c>
      <c r="G18" t="inlineStr">
        <is>
          <t>BOTKYRKA</t>
        </is>
      </c>
      <c r="I18" t="n">
        <v>1.7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märgborre
Spillkråka</t>
        </is>
      </c>
      <c r="W18">
        <f>HYPERLINK("https://klasma.github.io/Logging_0127/artfynd/A 24799-2026 artfynd.xlsx", "A 24799-2026")</f>
        <v/>
      </c>
      <c r="X18">
        <f>HYPERLINK("https://klasma.github.io/Logging_0127/kartor/A 24799-2026 karta.png", "A 24799-2026")</f>
        <v/>
      </c>
      <c r="Y18">
        <f>HYPERLINK("https://klasma.github.io/Logging_0127/kartor_geotiff/A 24799-2026 georefererad karta.tif", "A 24799-2026")</f>
        <v/>
      </c>
      <c r="AA18">
        <f>HYPERLINK("https://klasma.github.io/Logging_0127/klagomål/A 24799-2026 FSC-klagomål.docx", "A 24799-2026")</f>
        <v/>
      </c>
      <c r="AB18">
        <f>HYPERLINK("https://klasma.github.io/Logging_0127/klagomålsmail/A 24799-2026 FSC-klagomål mail.docx", "A 24799-2026")</f>
        <v/>
      </c>
      <c r="AC18">
        <f>HYPERLINK("https://klasma.github.io/Logging_0127/tillsyn/A 24799-2026 tillsynsbegäran.docx", "A 24799-2026")</f>
        <v/>
      </c>
      <c r="AD18">
        <f>HYPERLINK("https://klasma.github.io/Logging_0127/tillsynsmail/A 24799-2026 tillsynsbegäran mail.docx", "A 24799-2026")</f>
        <v/>
      </c>
      <c r="AE18">
        <f>HYPERLINK("https://klasma.github.io/Logging_0127/fåglar/A 24799-2026 prioriterade fågelarter.docx", "A 24799-2026")</f>
        <v/>
      </c>
    </row>
    <row r="19" ht="15" customHeight="1">
      <c r="A19" t="inlineStr">
        <is>
          <t>A 25319-2026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46176</v>
      </c>
      <c r="E19" s="1" t="n">
        <v>46283</v>
      </c>
      <c r="F19" t="inlineStr">
        <is>
          <t>STOCKHOLMS LÄN</t>
        </is>
      </c>
      <c r="G19" t="inlineStr">
        <is>
          <t>BOTKYRKA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Grovticka
Spillkråka</t>
        </is>
      </c>
      <c r="W19">
        <f>HYPERLINK("https://klasma.github.io/Logging_0127/artfynd/A 25319-2026 artfynd.xlsx", "A 25319-2026")</f>
        <v/>
      </c>
      <c r="X19">
        <f>HYPERLINK("https://klasma.github.io/Logging_0127/kartor/A 25319-2026 karta.png", "A 25319-2026")</f>
        <v/>
      </c>
      <c r="Y19">
        <f>HYPERLINK("https://klasma.github.io/Logging_0127/kartor_geotiff/A 25319-2026 georefererad karta.tif", "A 25319-2026")</f>
        <v/>
      </c>
      <c r="AA19">
        <f>HYPERLINK("https://klasma.github.io/Logging_0127/klagomål/A 25319-2026 FSC-klagomål.docx", "A 25319-2026")</f>
        <v/>
      </c>
      <c r="AB19">
        <f>HYPERLINK("https://klasma.github.io/Logging_0127/klagomålsmail/A 25319-2026 FSC-klagomål mail.docx", "A 25319-2026")</f>
        <v/>
      </c>
      <c r="AC19">
        <f>HYPERLINK("https://klasma.github.io/Logging_0127/tillsyn/A 25319-2026 tillsynsbegäran.docx", "A 25319-2026")</f>
        <v/>
      </c>
      <c r="AD19">
        <f>HYPERLINK("https://klasma.github.io/Logging_0127/tillsynsmail/A 25319-2026 tillsynsbegäran mail.docx", "A 25319-2026")</f>
        <v/>
      </c>
      <c r="AE19">
        <f>HYPERLINK("https://klasma.github.io/Logging_0127/fåglar/A 25319-2026 prioriterade fågelarter.docx", "A 25319-2026")</f>
        <v/>
      </c>
    </row>
    <row r="20" ht="15" customHeight="1">
      <c r="A20" t="inlineStr">
        <is>
          <t>A 25315-2026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46283</v>
      </c>
      <c r="F20" t="inlineStr">
        <is>
          <t>STOCKHOLMS LÄN</t>
        </is>
      </c>
      <c r="G20" t="inlineStr">
        <is>
          <t>BOTKYRKA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Tofsmes</t>
        </is>
      </c>
      <c r="W20">
        <f>HYPERLINK("https://klasma.github.io/Logging_0127/artfynd/A 25315-2026 artfynd.xlsx", "A 25315-2026")</f>
        <v/>
      </c>
      <c r="X20">
        <f>HYPERLINK("https://klasma.github.io/Logging_0127/kartor/A 25315-2026 karta.png", "A 25315-2026")</f>
        <v/>
      </c>
      <c r="Y20">
        <f>HYPERLINK("https://klasma.github.io/Logging_0127/kartor_geotiff/A 25315-2026 georefererad karta.tif", "A 25315-2026")</f>
        <v/>
      </c>
      <c r="AA20">
        <f>HYPERLINK("https://klasma.github.io/Logging_0127/klagomål/A 25315-2026 FSC-klagomål.docx", "A 25315-2026")</f>
        <v/>
      </c>
      <c r="AB20">
        <f>HYPERLINK("https://klasma.github.io/Logging_0127/klagomålsmail/A 25315-2026 FSC-klagomål mail.docx", "A 25315-2026")</f>
        <v/>
      </c>
      <c r="AC20">
        <f>HYPERLINK("https://klasma.github.io/Logging_0127/tillsyn/A 25315-2026 tillsynsbegäran.docx", "A 25315-2026")</f>
        <v/>
      </c>
      <c r="AD20">
        <f>HYPERLINK("https://klasma.github.io/Logging_0127/tillsynsmail/A 25315-2026 tillsynsbegäran mail.docx", "A 25315-2026")</f>
        <v/>
      </c>
      <c r="AE20">
        <f>HYPERLINK("https://klasma.github.io/Logging_0127/fåglar/A 25315-2026 prioriterade fågelarter.docx", "A 25315-2026")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46283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60406-2025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45995</v>
      </c>
      <c r="E22" s="1" t="n">
        <v>46283</v>
      </c>
      <c r="F22" t="inlineStr">
        <is>
          <t>STOCKHOLMS LÄN</t>
        </is>
      </c>
      <c r="G22" t="inlineStr">
        <is>
          <t>BOTKYRKA</t>
        </is>
      </c>
      <c r="H22" t="inlineStr">
        <is>
          <t>Övriga Aktiebolag</t>
        </is>
      </c>
      <c r="I22" t="n">
        <v>2.3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Mindre märgborre</t>
        </is>
      </c>
      <c r="W22">
        <f>HYPERLINK("https://klasma.github.io/Logging_0127/artfynd/A 60406-2025 artfynd.xlsx", "A 60406-2025")</f>
        <v/>
      </c>
      <c r="X22">
        <f>HYPERLINK("https://klasma.github.io/Logging_0127/kartor/A 60406-2025 karta.png", "A 60406-2025")</f>
        <v/>
      </c>
      <c r="Y22">
        <f>HYPERLINK("https://klasma.github.io/Logging_0127/kartor_geotiff/A 60406-2025 georefererad karta.tif", "A 60406-2025")</f>
        <v/>
      </c>
      <c r="AA22">
        <f>HYPERLINK("https://klasma.github.io/Logging_0127/klagomål/A 60406-2025 FSC-klagomål.docx", "A 60406-2025")</f>
        <v/>
      </c>
      <c r="AB22">
        <f>HYPERLINK("https://klasma.github.io/Logging_0127/klagomålsmail/A 60406-2025 FSC-klagomål mail.docx", "A 60406-2025")</f>
        <v/>
      </c>
      <c r="AC22">
        <f>HYPERLINK("https://klasma.github.io/Logging_0127/tillsyn/A 60406-2025 tillsynsbegäran.docx", "A 60406-2025")</f>
        <v/>
      </c>
      <c r="AD22">
        <f>HYPERLINK("https://klasma.github.io/Logging_0127/tillsynsmail/A 60406-2025 tillsynsbegäran mail.docx", "A 60406-2025")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46283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46283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46283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46283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46283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46283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46283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46283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46283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46283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46283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46283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46283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46283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46283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46283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46283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46283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46283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46283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46283</v>
      </c>
      <c r="F44" t="inlineStr">
        <is>
          <t>STOCKHOLMS LÄN</t>
        </is>
      </c>
      <c r="G44" t="inlineStr">
        <is>
          <t>BOTKYRKA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46283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46283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46283</v>
      </c>
      <c r="F47" t="inlineStr">
        <is>
          <t>STOCKHOLMS LÄN</t>
        </is>
      </c>
      <c r="G47" t="inlineStr">
        <is>
          <t>BOTKYRKA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46283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46283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46283</v>
      </c>
      <c r="F50" t="inlineStr">
        <is>
          <t>STOCKHOLMS LÄN</t>
        </is>
      </c>
      <c r="G50" t="inlineStr">
        <is>
          <t>BOTKYRKA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46283</v>
      </c>
      <c r="F51" t="inlineStr">
        <is>
          <t>STOCKHOLMS LÄN</t>
        </is>
      </c>
      <c r="G51" t="inlineStr">
        <is>
          <t>BOTKYRKA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46283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46283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46283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46283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46283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46283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46283</v>
      </c>
      <c r="F58" t="inlineStr">
        <is>
          <t>STOCKHOLMS LÄN</t>
        </is>
      </c>
      <c r="G58" t="inlineStr">
        <is>
          <t>BOTKYRKA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46283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46258</v>
      </c>
      <c r="E60" s="1" t="n">
        <v>46283</v>
      </c>
      <c r="F60" t="inlineStr">
        <is>
          <t>STOCKHOLMS LÄN</t>
        </is>
      </c>
      <c r="G60" t="inlineStr">
        <is>
          <t>BOTKYRKA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6059-2022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44599</v>
      </c>
      <c r="E61" s="1" t="n">
        <v>46283</v>
      </c>
      <c r="F61" t="inlineStr">
        <is>
          <t>STOCKHOLMS LÄN</t>
        </is>
      </c>
      <c r="G61" t="inlineStr">
        <is>
          <t>BOTKYRKA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8528-2024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45355</v>
      </c>
      <c r="E62" s="1" t="n">
        <v>46283</v>
      </c>
      <c r="F62" t="inlineStr">
        <is>
          <t>STOCKHOLMS LÄN</t>
        </is>
      </c>
      <c r="G62" t="inlineStr">
        <is>
          <t>BOTKYRKA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46283</v>
      </c>
      <c r="F63" t="inlineStr">
        <is>
          <t>STOCKHOLMS LÄN</t>
        </is>
      </c>
      <c r="G63" t="inlineStr">
        <is>
          <t>BOTKYRKA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46283</v>
      </c>
      <c r="F64" t="inlineStr">
        <is>
          <t>STOCKHOLMS LÄN</t>
        </is>
      </c>
      <c r="G64" t="inlineStr">
        <is>
          <t>BOTKYRKA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46283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46283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46283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46283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46283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46283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46283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46283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46283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2026-09-18T02:04:51Z</dcterms:created>
  <dcterms:modified xmlns:dcterms="http://purl.org/dc/terms/" xmlns:xsi="http://www.w3.org/2001/XMLSchema-instance" xsi:type="dcterms:W3CDTF">2026-09-18T02:04:51Z</dcterms:modified>
</cp:coreProperties>
</file>