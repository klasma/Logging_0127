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46278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46278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46278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46278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12818-2026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46092</v>
      </c>
      <c r="E7" s="1" t="n">
        <v>46278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0.9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13</v>
      </c>
      <c r="U7" t="n">
        <v>3</v>
      </c>
      <c r="V7" s="2" t="inlineStr">
        <is>
          <t>Motaggsvamp
Vintertagging
Blomkålssvamp
Blåmossa
Grovticka
Nattskärra
Tofsmes
Kungsfågel</t>
        </is>
      </c>
      <c r="W7">
        <f>HYPERLINK("https://klasma.github.io/Logging_0127/artfynd/A 12818-2026 artfynd.xlsx", "A 12818-2026")</f>
        <v/>
      </c>
      <c r="X7">
        <f>HYPERLINK("https://klasma.github.io/Logging_0127/kartor/A 12818-2026 karta.png", "A 12818-2026")</f>
        <v/>
      </c>
      <c r="Y7">
        <f>HYPERLINK("https://klasma.github.io/Logging_0127/kartor_geotiff/A 12818-2026 georefererad karta.tif", "A 12818-2026")</f>
        <v/>
      </c>
      <c r="AA7">
        <f>HYPERLINK("https://klasma.github.io/Logging_0127/klagomål/A 12818-2026 FSC-klagomål.docx", "A 12818-2026")</f>
        <v/>
      </c>
      <c r="AB7">
        <f>HYPERLINK("https://klasma.github.io/Logging_0127/klagomålsmail/A 12818-2026 FSC-klagomål mail.docx", "A 12818-2026")</f>
        <v/>
      </c>
      <c r="AC7">
        <f>HYPERLINK("https://klasma.github.io/Logging_0127/tillsyn/A 12818-2026 tillsynsbegäran.docx", "A 12818-2026")</f>
        <v/>
      </c>
      <c r="AD7">
        <f>HYPERLINK("https://klasma.github.io/Logging_0127/tillsynsmail/A 12818-2026 tillsynsbegäran mail.docx", "A 12818-2026")</f>
        <v/>
      </c>
      <c r="AE7">
        <f>HYPERLINK("https://klasma.github.io/Logging_0127/fåglar/A 12818-2026 prioriterade fågelarter.docx", "A 12818-2026")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46278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46278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46278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46278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46278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46278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46278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46278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46278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46278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46278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Svart trolldruva
Gullviva</t>
        </is>
      </c>
      <c r="W20">
        <f>HYPERLINK("https://klasma.github.io/Logging_0127/artfynd/A 18100-2022 artfynd.xlsx", "A 18100-2022")</f>
        <v/>
      </c>
      <c r="X20">
        <f>HYPERLINK("https://klasma.github.io/Logging_0127/kartor/A 18100-2022 karta.png", "A 18100-2022")</f>
        <v/>
      </c>
      <c r="Y20">
        <f>HYPERLINK("https://klasma.github.io/Logging_0127/kartor_geotiff/A 18100-2022 georefererad karta.tif", "A 18100-2022")</f>
        <v/>
      </c>
      <c r="AA20">
        <f>HYPERLINK("https://klasma.github.io/Logging_0127/klagomål/A 18100-2022 FSC-klagomål.docx", "A 18100-2022")</f>
        <v/>
      </c>
      <c r="AB20">
        <f>HYPERLINK("https://klasma.github.io/Logging_0127/klagomålsmail/A 18100-2022 FSC-klagomål mail.docx", "A 18100-2022")</f>
        <v/>
      </c>
      <c r="AC20">
        <f>HYPERLINK("https://klasma.github.io/Logging_0127/tillsyn/A 18100-2022 tillsynsbegäran.docx", "A 18100-2022")</f>
        <v/>
      </c>
      <c r="AD20">
        <f>HYPERLINK("https://klasma.github.io/Logging_0127/tillsynsmail/A 18100-2022 tillsynsbegäran mail.docx", "A 18100-2022")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46278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46278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46278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46278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46278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46278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46278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46278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46278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46278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46278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46278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46278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46278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46278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46278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46278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46278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46278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46278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46278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46278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46278</v>
      </c>
      <c r="F44" t="inlineStr">
        <is>
          <t>STOCKHOLMS LÄN</t>
        </is>
      </c>
      <c r="G44" t="inlineStr">
        <is>
          <t>BOTKYRKA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46278</v>
      </c>
      <c r="F45" t="inlineStr">
        <is>
          <t>STOCKHOLMS LÄN</t>
        </is>
      </c>
      <c r="G45" t="inlineStr">
        <is>
          <t>BOTKYRKA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46278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46278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46278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46278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46278</v>
      </c>
      <c r="F50" t="inlineStr">
        <is>
          <t>STOCKHOLMS LÄN</t>
        </is>
      </c>
      <c r="G50" t="inlineStr">
        <is>
          <t>BOTKYRKA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46278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46278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46278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46278</v>
      </c>
      <c r="F54" t="inlineStr">
        <is>
          <t>STOCKHOLMS LÄN</t>
        </is>
      </c>
      <c r="G54" t="inlineStr">
        <is>
          <t>BOTKYRKA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46278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46278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46278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46278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44599</v>
      </c>
      <c r="E59" s="1" t="n">
        <v>46278</v>
      </c>
      <c r="F59" t="inlineStr">
        <is>
          <t>STOCKHOLMS LÄN</t>
        </is>
      </c>
      <c r="G59" t="inlineStr">
        <is>
          <t>BOTKYRKA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8528-2024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45355</v>
      </c>
      <c r="E60" s="1" t="n">
        <v>46278</v>
      </c>
      <c r="F60" t="inlineStr">
        <is>
          <t>STOCKHOLMS LÄN</t>
        </is>
      </c>
      <c r="G60" t="inlineStr">
        <is>
          <t>BOTKYRKA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46278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46278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46278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46278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46278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46278</v>
      </c>
      <c r="F66" t="inlineStr">
        <is>
          <t>STOCKHOLMS LÄN</t>
        </is>
      </c>
      <c r="G66" t="inlineStr">
        <is>
          <t>BOTKYRKA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46278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46278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46278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46278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46278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46278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46278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2026-09-13T02:12:12Z</dcterms:created>
  <dcterms:modified xmlns:dcterms="http://purl.org/dc/terms/" xmlns:xsi="http://www.w3.org/2001/XMLSchema-instance" xsi:type="dcterms:W3CDTF">2026-09-13T02:12:12Z</dcterms:modified>
</cp:coreProperties>
</file>