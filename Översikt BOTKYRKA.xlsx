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46121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46121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46121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46121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46121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46121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46121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46121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46121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46121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46121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30055-2025</t>
        </is>
      </c>
      <c r="B13" s="1" t="n">
        <v>45826</v>
      </c>
      <c r="C13" s="1" t="n">
        <v>46121</v>
      </c>
      <c r="D13" t="inlineStr">
        <is>
          <t>STOCKHOLMS LÄN</t>
        </is>
      </c>
      <c r="E13" t="inlineStr">
        <is>
          <t>BOTKYRKA</t>
        </is>
      </c>
      <c r="G13" t="n">
        <v>2.1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Klasefibbla
Blåsippa</t>
        </is>
      </c>
      <c r="S13">
        <f>HYPERLINK("https://klasma.github.io/Logging_0127/artfynd/A 30055-2025 artfynd.xlsx", "A 30055-2025")</f>
        <v/>
      </c>
      <c r="T13">
        <f>HYPERLINK("https://klasma.github.io/Logging_0127/kartor/A 30055-2025 karta.png", "A 30055-2025")</f>
        <v/>
      </c>
      <c r="V13">
        <f>HYPERLINK("https://klasma.github.io/Logging_0127/klagomål/A 30055-2025 FSC-klagomål.docx", "A 30055-2025")</f>
        <v/>
      </c>
      <c r="W13">
        <f>HYPERLINK("https://klasma.github.io/Logging_0127/klagomålsmail/A 30055-2025 FSC-klagomål mail.docx", "A 30055-2025")</f>
        <v/>
      </c>
      <c r="X13">
        <f>HYPERLINK("https://klasma.github.io/Logging_0127/tillsyn/A 30055-2025 tillsynsbegäran.docx", "A 30055-2025")</f>
        <v/>
      </c>
      <c r="Y13">
        <f>HYPERLINK("https://klasma.github.io/Logging_0127/tillsynsmail/A 30055-2025 tillsynsbegäran mail.docx", "A 30055-2025")</f>
        <v/>
      </c>
    </row>
    <row r="14" ht="15" customHeight="1">
      <c r="A14" t="inlineStr">
        <is>
          <t>A 60406-2025</t>
        </is>
      </c>
      <c r="B14" s="1" t="n">
        <v>45995.43050925926</v>
      </c>
      <c r="C14" s="1" t="n">
        <v>46121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2.3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Mindre märgborre</t>
        </is>
      </c>
      <c r="S14">
        <f>HYPERLINK("https://klasma.github.io/Logging_0127/artfynd/A 60406-2025 artfynd.xlsx", "A 60406-2025")</f>
        <v/>
      </c>
      <c r="T14">
        <f>HYPERLINK("https://klasma.github.io/Logging_0127/kartor/A 60406-2025 karta.png", "A 60406-2025")</f>
        <v/>
      </c>
      <c r="V14">
        <f>HYPERLINK("https://klasma.github.io/Logging_0127/klagomål/A 60406-2025 FSC-klagomål.docx", "A 60406-2025")</f>
        <v/>
      </c>
      <c r="W14">
        <f>HYPERLINK("https://klasma.github.io/Logging_0127/klagomålsmail/A 60406-2025 FSC-klagomål mail.docx", "A 60406-2025")</f>
        <v/>
      </c>
      <c r="X14">
        <f>HYPERLINK("https://klasma.github.io/Logging_0127/tillsyn/A 60406-2025 tillsynsbegäran.docx", "A 60406-2025")</f>
        <v/>
      </c>
      <c r="Y14">
        <f>HYPERLINK("https://klasma.github.io/Logging_0127/tillsynsmail/A 60406-2025 tillsynsbegäran mail.docx", "A 60406-2025")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46121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46121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46121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46121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46121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46121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46121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3726-2022</t>
        </is>
      </c>
      <c r="B22" s="1" t="n">
        <v>44586</v>
      </c>
      <c r="C22" s="1" t="n">
        <v>46121</v>
      </c>
      <c r="D22" t="inlineStr">
        <is>
          <t>STOCKHOLMS LÄN</t>
        </is>
      </c>
      <c r="E22" t="inlineStr">
        <is>
          <t>BOTKYRKA</t>
        </is>
      </c>
      <c r="G22" t="n">
        <v>17.1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HYPERLINK("https://klasma.github.io/Logging_0127/artfynd/A 3726-2022 artfynd.xlsx", "A 3726-2022")</f>
        <v/>
      </c>
      <c r="T22">
        <f>HYPERLINK("https://klasma.github.io/Logging_0127/kartor/A 3726-2022 karta.png", "A 3726-2022")</f>
        <v/>
      </c>
      <c r="V22">
        <f>HYPERLINK("https://klasma.github.io/Logging_0127/klagomål/A 3726-2022 FSC-klagomål.docx", "A 3726-2022")</f>
        <v/>
      </c>
      <c r="W22">
        <f>HYPERLINK("https://klasma.github.io/Logging_0127/klagomålsmail/A 3726-2022 FSC-klagomål mail.docx", "A 3726-2022")</f>
        <v/>
      </c>
      <c r="X22">
        <f>HYPERLINK("https://klasma.github.io/Logging_0127/tillsyn/A 3726-2022 tillsynsbegäran.docx", "A 3726-2022")</f>
        <v/>
      </c>
      <c r="Y22">
        <f>HYPERLINK("https://klasma.github.io/Logging_0127/tillsynsmail/A 3726-2022 tillsynsbegäran mail.docx", "A 3726-2022")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46121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46121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46121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46121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46121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46121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46121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46121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46121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20210-2021</t>
        </is>
      </c>
      <c r="B32" s="1" t="n">
        <v>44314</v>
      </c>
      <c r="C32" s="1" t="n">
        <v>46121</v>
      </c>
      <c r="D32" t="inlineStr">
        <is>
          <t>STOCKHOLMS LÄN</t>
        </is>
      </c>
      <c r="E32" t="inlineStr">
        <is>
          <t>BOTKYRKA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73772-2021</t>
        </is>
      </c>
      <c r="B33" s="1" t="n">
        <v>44552</v>
      </c>
      <c r="C33" s="1" t="n">
        <v>46121</v>
      </c>
      <c r="D33" t="inlineStr">
        <is>
          <t>STOCKHOLMS LÄN</t>
        </is>
      </c>
      <c r="E33" t="inlineStr">
        <is>
          <t>BOTKYRKA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52035-2021</t>
        </is>
      </c>
      <c r="B34" s="1" t="n">
        <v>44463</v>
      </c>
      <c r="C34" s="1" t="n">
        <v>46121</v>
      </c>
      <c r="D34" t="inlineStr">
        <is>
          <t>STOCKHOLMS LÄN</t>
        </is>
      </c>
      <c r="E34" t="inlineStr">
        <is>
          <t>BOTKYRKA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35492-2021</t>
        </is>
      </c>
      <c r="B35" s="1" t="n">
        <v>44385</v>
      </c>
      <c r="C35" s="1" t="n">
        <v>46121</v>
      </c>
      <c r="D35" t="inlineStr">
        <is>
          <t>STOCKHOLMS LÄN</t>
        </is>
      </c>
      <c r="E35" t="inlineStr">
        <is>
          <t>BOTKYRKA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48647-2022</t>
        </is>
      </c>
      <c r="B36" s="1" t="n">
        <v>44859</v>
      </c>
      <c r="C36" s="1" t="n">
        <v>46121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14202-2025</t>
        </is>
      </c>
      <c r="B37" s="1" t="n">
        <v>45740.57461805556</v>
      </c>
      <c r="C37" s="1" t="n">
        <v>46121</v>
      </c>
      <c r="D37" t="inlineStr">
        <is>
          <t>STOCKHOLMS LÄN</t>
        </is>
      </c>
      <c r="E37" t="inlineStr">
        <is>
          <t>BOTKYRKA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46121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61242-2022</t>
        </is>
      </c>
      <c r="B39" s="1" t="n">
        <v>44915</v>
      </c>
      <c r="C39" s="1" t="n">
        <v>46121</v>
      </c>
      <c r="D39" t="inlineStr">
        <is>
          <t>STOCKHOLMS LÄN</t>
        </is>
      </c>
      <c r="E39" t="inlineStr">
        <is>
          <t>BOTKYRKA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30925-2023</t>
        </is>
      </c>
      <c r="B40" s="1" t="n">
        <v>45113</v>
      </c>
      <c r="C40" s="1" t="n">
        <v>46121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15690-2023</t>
        </is>
      </c>
      <c r="B41" s="1" t="n">
        <v>45020</v>
      </c>
      <c r="C41" s="1" t="n">
        <v>46121</v>
      </c>
      <c r="D41" t="inlineStr">
        <is>
          <t>STOCKHOLMS LÄN</t>
        </is>
      </c>
      <c r="E41" t="inlineStr">
        <is>
          <t>BOTKYRKA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16142-2024</t>
        </is>
      </c>
      <c r="B42" s="1" t="n">
        <v>45406</v>
      </c>
      <c r="C42" s="1" t="n">
        <v>46121</v>
      </c>
      <c r="D42" t="inlineStr">
        <is>
          <t>STOCKHOLMS LÄN</t>
        </is>
      </c>
      <c r="E42" t="inlineStr">
        <is>
          <t>BOTKYRKA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11876-2024</t>
        </is>
      </c>
      <c r="B43" s="1" t="n">
        <v>45376.47072916666</v>
      </c>
      <c r="C43" s="1" t="n">
        <v>46121</v>
      </c>
      <c r="D43" t="inlineStr">
        <is>
          <t>STOCKHOLMS LÄN</t>
        </is>
      </c>
      <c r="E43" t="inlineStr">
        <is>
          <t>BOTKYRKA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14217-2025</t>
        </is>
      </c>
      <c r="B44" s="1" t="n">
        <v>45740.58534722222</v>
      </c>
      <c r="C44" s="1" t="n">
        <v>46121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30378-2024</t>
        </is>
      </c>
      <c r="B45" s="1" t="n">
        <v>45491</v>
      </c>
      <c r="C45" s="1" t="n">
        <v>46121</v>
      </c>
      <c r="D45" t="inlineStr">
        <is>
          <t>STOCKHOLMS LÄN</t>
        </is>
      </c>
      <c r="E45" t="inlineStr">
        <is>
          <t>BOTKYRKA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61320-2024</t>
        </is>
      </c>
      <c r="B46" s="1" t="n">
        <v>45646.33262731481</v>
      </c>
      <c r="C46" s="1" t="n">
        <v>46121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44550.61508101852</v>
      </c>
      <c r="C47" s="1" t="n">
        <v>46121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15905-2022</t>
        </is>
      </c>
      <c r="B48" s="1" t="n">
        <v>44664</v>
      </c>
      <c r="C48" s="1" t="n">
        <v>46121</v>
      </c>
      <c r="D48" t="inlineStr">
        <is>
          <t>STOCKHOLMS LÄN</t>
        </is>
      </c>
      <c r="E48" t="inlineStr">
        <is>
          <t>BOTKYRKA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46121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45945-2025</t>
        </is>
      </c>
      <c r="B50" s="1" t="n">
        <v>45924</v>
      </c>
      <c r="C50" s="1" t="n">
        <v>46121</v>
      </c>
      <c r="D50" t="inlineStr">
        <is>
          <t>STOCKHOLMS LÄN</t>
        </is>
      </c>
      <c r="E50" t="inlineStr">
        <is>
          <t>BOTKYRKA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49175-2025</t>
        </is>
      </c>
      <c r="B51" s="1" t="n">
        <v>45938.3790162037</v>
      </c>
      <c r="C51" s="1" t="n">
        <v>46121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46121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46405-2022</t>
        </is>
      </c>
      <c r="B53" s="1" t="n">
        <v>44846</v>
      </c>
      <c r="C53" s="1" t="n">
        <v>46121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54468-2025</t>
        </is>
      </c>
      <c r="B54" s="1" t="n">
        <v>45965</v>
      </c>
      <c r="C54" s="1" t="n">
        <v>46121</v>
      </c>
      <c r="D54" t="inlineStr">
        <is>
          <t>STOCKHOLMS LÄN</t>
        </is>
      </c>
      <c r="E54" t="inlineStr">
        <is>
          <t>BOTKYRKA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20649-2022</t>
        </is>
      </c>
      <c r="B55" s="1" t="n">
        <v>44700</v>
      </c>
      <c r="C55" s="1" t="n">
        <v>46121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8528-2024</t>
        </is>
      </c>
      <c r="B56" s="1" t="n">
        <v>45355.49099537037</v>
      </c>
      <c r="C56" s="1" t="n">
        <v>46121</v>
      </c>
      <c r="D56" t="inlineStr">
        <is>
          <t>STOCKHOLMS LÄN</t>
        </is>
      </c>
      <c r="E56" t="inlineStr">
        <is>
          <t>BOTKYRKA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45869-2022</t>
        </is>
      </c>
      <c r="B57" s="1" t="n">
        <v>44844</v>
      </c>
      <c r="C57" s="1" t="n">
        <v>46121</v>
      </c>
      <c r="D57" t="inlineStr">
        <is>
          <t>STOCKHOLMS LÄN</t>
        </is>
      </c>
      <c r="E57" t="inlineStr">
        <is>
          <t>BOTKYRKA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46121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15692-2023</t>
        </is>
      </c>
      <c r="B59" s="1" t="n">
        <v>45020</v>
      </c>
      <c r="C59" s="1" t="n">
        <v>46121</v>
      </c>
      <c r="D59" t="inlineStr">
        <is>
          <t>STOCKHOLMS LÄN</t>
        </is>
      </c>
      <c r="E59" t="inlineStr">
        <is>
          <t>BOTKYRKA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44550.5162037037</v>
      </c>
      <c r="C60" s="1" t="n">
        <v>46121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46121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12294-2026</t>
        </is>
      </c>
      <c r="B62" s="1" t="n">
        <v>46087.55737268519</v>
      </c>
      <c r="C62" s="1" t="n">
        <v>46121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12306-2026</t>
        </is>
      </c>
      <c r="B63" s="1" t="n">
        <v>46087.57949074074</v>
      </c>
      <c r="C63" s="1" t="n">
        <v>46121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46121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48656-2022</t>
        </is>
      </c>
      <c r="B65" s="1" t="n">
        <v>44859.43993055556</v>
      </c>
      <c r="C65" s="1" t="n">
        <v>46121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38194-2022</t>
        </is>
      </c>
      <c r="B66" s="1" t="n">
        <v>44812</v>
      </c>
      <c r="C66" s="1" t="n">
        <v>46121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11867-2024</t>
        </is>
      </c>
      <c r="B67" s="1" t="n">
        <v>45376.45421296296</v>
      </c>
      <c r="C67" s="1" t="n">
        <v>46121</v>
      </c>
      <c r="D67" t="inlineStr">
        <is>
          <t>STOCKHOLMS LÄN</t>
        </is>
      </c>
      <c r="E67" t="inlineStr">
        <is>
          <t>BOTKYRKA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16149-2024</t>
        </is>
      </c>
      <c r="B68" s="1" t="n">
        <v>45406.56984953704</v>
      </c>
      <c r="C68" s="1" t="n">
        <v>46121</v>
      </c>
      <c r="D68" t="inlineStr">
        <is>
          <t>STOCKHOLMS LÄN</t>
        </is>
      </c>
      <c r="E68" t="inlineStr">
        <is>
          <t>BOTKYRKA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28983-2024</t>
        </is>
      </c>
      <c r="B69" s="1" t="n">
        <v>45481.47731481482</v>
      </c>
      <c r="C69" s="1" t="n">
        <v>46121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61225-2022</t>
        </is>
      </c>
      <c r="B70" s="1" t="n">
        <v>44915</v>
      </c>
      <c r="C70" s="1" t="n">
        <v>46121</v>
      </c>
      <c r="D70" t="inlineStr">
        <is>
          <t>STOCKHOLMS LÄN</t>
        </is>
      </c>
      <c r="E70" t="inlineStr">
        <is>
          <t>BOTKYRKA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25217-2024</t>
        </is>
      </c>
      <c r="B71" s="1" t="n">
        <v>45462</v>
      </c>
      <c r="C71" s="1" t="n">
        <v>46121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35197-2024</t>
        </is>
      </c>
      <c r="B72" s="1" t="n">
        <v>45530</v>
      </c>
      <c r="C72" s="1" t="n">
        <v>46121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30622-2024</t>
        </is>
      </c>
      <c r="B73" s="1" t="n">
        <v>45495</v>
      </c>
      <c r="C73" s="1" t="n">
        <v>46121</v>
      </c>
      <c r="D73" t="inlineStr">
        <is>
          <t>STOCKHOLMS LÄN</t>
        </is>
      </c>
      <c r="E73" t="inlineStr">
        <is>
          <t>BOTKYRKA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36097-2021</t>
        </is>
      </c>
      <c r="B74" s="1" t="n">
        <v>44389</v>
      </c>
      <c r="C74" s="1" t="n">
        <v>46121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16145-2024</t>
        </is>
      </c>
      <c r="B75" s="1" t="n">
        <v>45406.56561342593</v>
      </c>
      <c r="C75" s="1" t="n">
        <v>46121</v>
      </c>
      <c r="D75" t="inlineStr">
        <is>
          <t>STOCKHOLMS LÄN</t>
        </is>
      </c>
      <c r="E75" t="inlineStr">
        <is>
          <t>BOTKYRKA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61514-2022</t>
        </is>
      </c>
      <c r="B76" s="1" t="n">
        <v>44916</v>
      </c>
      <c r="C76" s="1" t="n">
        <v>46121</v>
      </c>
      <c r="D76" t="inlineStr">
        <is>
          <t>STOCKHOLMS LÄN</t>
        </is>
      </c>
      <c r="E76" t="inlineStr">
        <is>
          <t>BOTKYRKA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3021-2025</t>
        </is>
      </c>
      <c r="B77" s="1" t="n">
        <v>45678.57962962963</v>
      </c>
      <c r="C77" s="1" t="n">
        <v>46121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6059-2022</t>
        </is>
      </c>
      <c r="B78" s="1" t="n">
        <v>44599</v>
      </c>
      <c r="C78" s="1" t="n">
        <v>46121</v>
      </c>
      <c r="D78" t="inlineStr">
        <is>
          <t>STOCKHOLMS LÄN</t>
        </is>
      </c>
      <c r="E78" t="inlineStr">
        <is>
          <t>BOTKYRKA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37095-2021</t>
        </is>
      </c>
      <c r="B79" s="1" t="n">
        <v>44395</v>
      </c>
      <c r="C79" s="1" t="n">
        <v>46121</v>
      </c>
      <c r="D79" t="inlineStr">
        <is>
          <t>STOCKHOLMS LÄN</t>
        </is>
      </c>
      <c r="E79" t="inlineStr">
        <is>
          <t>BOTKYRKA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2026-04-09T10:54:07Z</dcterms:created>
  <dcterms:modified xmlns:dcterms="http://purl.org/dc/terms/" xmlns:xsi="http://www.w3.org/2001/XMLSchema-instance" xsi:type="dcterms:W3CDTF">2026-04-09T10:54:07Z</dcterms:modified>
</cp:coreProperties>
</file>