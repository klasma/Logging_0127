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45875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45875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45875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45875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45875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45875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45875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45875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45875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45875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45875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695-2023</t>
        </is>
      </c>
      <c r="B13" s="1" t="n">
        <v>44930</v>
      </c>
      <c r="C13" s="1" t="n">
        <v>45875</v>
      </c>
      <c r="D13" t="inlineStr">
        <is>
          <t>STOCKHOLMS LÄN</t>
        </is>
      </c>
      <c r="E13" t="inlineStr">
        <is>
          <t>BOTKYRKA</t>
        </is>
      </c>
      <c r="G13" t="n">
        <v>13.6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Gulsparv
Kungsfågel</t>
        </is>
      </c>
      <c r="S13">
        <f>HYPERLINK("https://klasma.github.io/Logging_0127/artfynd/A 695-2023 artfynd.xlsx", "A 695-2023")</f>
        <v/>
      </c>
      <c r="T13">
        <f>HYPERLINK("https://klasma.github.io/Logging_0127/kartor/A 695-2023 karta.png", "A 695-2023")</f>
        <v/>
      </c>
      <c r="V13">
        <f>HYPERLINK("https://klasma.github.io/Logging_0127/klagomål/A 695-2023 FSC-klagomål.docx", "A 695-2023")</f>
        <v/>
      </c>
      <c r="W13">
        <f>HYPERLINK("https://klasma.github.io/Logging_0127/klagomålsmail/A 695-2023 FSC-klagomål mail.docx", "A 695-2023")</f>
        <v/>
      </c>
      <c r="X13">
        <f>HYPERLINK("https://klasma.github.io/Logging_0127/tillsyn/A 695-2023 tillsynsbegäran.docx", "A 695-2023")</f>
        <v/>
      </c>
      <c r="Y13">
        <f>HYPERLINK("https://klasma.github.io/Logging_0127/tillsynsmail/A 695-2023 tillsynsbegäran mail.docx", "A 695-2023")</f>
        <v/>
      </c>
      <c r="Z13">
        <f>HYPERLINK("https://klasma.github.io/Logging_0127/fåglar/A 695-2023 prioriterade fågelarter.docx", "A 695-2023")</f>
        <v/>
      </c>
    </row>
    <row r="14" ht="15" customHeight="1">
      <c r="A14" t="inlineStr">
        <is>
          <t>A 1697-2023</t>
        </is>
      </c>
      <c r="B14" s="1" t="n">
        <v>44938</v>
      </c>
      <c r="C14" s="1" t="n">
        <v>45875</v>
      </c>
      <c r="D14" t="inlineStr">
        <is>
          <t>STOCKHOLMS LÄN</t>
        </is>
      </c>
      <c r="E14" t="inlineStr">
        <is>
          <t>BOTKYRKA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Bårdlav</t>
        </is>
      </c>
      <c r="S14">
        <f>HYPERLINK("https://klasma.github.io/Logging_0127/artfynd/A 1697-2023 artfynd.xlsx", "A 1697-2023")</f>
        <v/>
      </c>
      <c r="T14">
        <f>HYPERLINK("https://klasma.github.io/Logging_0127/kartor/A 1697-2023 karta.png", "A 1697-2023")</f>
        <v/>
      </c>
      <c r="V14">
        <f>HYPERLINK("https://klasma.github.io/Logging_0127/klagomål/A 1697-2023 FSC-klagomål.docx", "A 1697-2023")</f>
        <v/>
      </c>
      <c r="W14">
        <f>HYPERLINK("https://klasma.github.io/Logging_0127/klagomålsmail/A 1697-2023 FSC-klagomål mail.docx", "A 1697-2023")</f>
        <v/>
      </c>
      <c r="X14">
        <f>HYPERLINK("https://klasma.github.io/Logging_0127/tillsyn/A 1697-2023 tillsynsbegäran.docx", "A 1697-2023")</f>
        <v/>
      </c>
      <c r="Y14">
        <f>HYPERLINK("https://klasma.github.io/Logging_0127/tillsynsmail/A 1697-2023 tillsynsbegäran mail.docx", "A 1697-2023")</f>
        <v/>
      </c>
    </row>
    <row r="15" ht="15" customHeight="1">
      <c r="A15" t="inlineStr">
        <is>
          <t>A 40444-2023</t>
        </is>
      </c>
      <c r="B15" s="1" t="n">
        <v>45170</v>
      </c>
      <c r="C15" s="1" t="n">
        <v>45875</v>
      </c>
      <c r="D15" t="inlineStr">
        <is>
          <t>STOCKHOLMS LÄN</t>
        </is>
      </c>
      <c r="E15" t="inlineStr">
        <is>
          <t>BOTKYRKA</t>
        </is>
      </c>
      <c r="F15" t="inlineStr">
        <is>
          <t>Övriga Aktiebolag</t>
        </is>
      </c>
      <c r="G15" t="n">
        <v>0.6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Kopparödla</t>
        </is>
      </c>
      <c r="S15">
        <f>HYPERLINK("https://klasma.github.io/Logging_0127/artfynd/A 40444-2023 artfynd.xlsx", "A 40444-2023")</f>
        <v/>
      </c>
      <c r="T15">
        <f>HYPERLINK("https://klasma.github.io/Logging_0127/kartor/A 40444-2023 karta.png", "A 40444-2023")</f>
        <v/>
      </c>
      <c r="V15">
        <f>HYPERLINK("https://klasma.github.io/Logging_0127/klagomål/A 40444-2023 FSC-klagomål.docx", "A 40444-2023")</f>
        <v/>
      </c>
      <c r="W15">
        <f>HYPERLINK("https://klasma.github.io/Logging_0127/klagomålsmail/A 40444-2023 FSC-klagomål mail.docx", "A 40444-2023")</f>
        <v/>
      </c>
      <c r="X15">
        <f>HYPERLINK("https://klasma.github.io/Logging_0127/tillsyn/A 40444-2023 tillsynsbegäran.docx", "A 40444-2023")</f>
        <v/>
      </c>
      <c r="Y15">
        <f>HYPERLINK("https://klasma.github.io/Logging_0127/tillsynsmail/A 40444-2023 tillsynsbegäran mail.docx", "A 40444-2023")</f>
        <v/>
      </c>
      <c r="Z15">
        <f>HYPERLINK("https://klasma.github.io/Logging_0127/fåglar/A 40444-2023 prioriterade fågelarter.docx", "A 40444-2023")</f>
        <v/>
      </c>
    </row>
    <row r="16" ht="15" customHeight="1">
      <c r="A16" t="inlineStr">
        <is>
          <t>A 46953-2023</t>
        </is>
      </c>
      <c r="B16" s="1" t="n">
        <v>45195</v>
      </c>
      <c r="C16" s="1" t="n">
        <v>45875</v>
      </c>
      <c r="D16" t="inlineStr">
        <is>
          <t>STOCKHOLMS LÄN</t>
        </is>
      </c>
      <c r="E16" t="inlineStr">
        <is>
          <t>BOTKYRKA</t>
        </is>
      </c>
      <c r="G16" t="n">
        <v>4.6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Rödgul trumpetsvamp
Sotriska</t>
        </is>
      </c>
      <c r="S16">
        <f>HYPERLINK("https://klasma.github.io/Logging_0127/artfynd/A 46953-2023 artfynd.xlsx", "A 46953-2023")</f>
        <v/>
      </c>
      <c r="T16">
        <f>HYPERLINK("https://klasma.github.io/Logging_0127/kartor/A 46953-2023 karta.png", "A 46953-2023")</f>
        <v/>
      </c>
      <c r="V16">
        <f>HYPERLINK("https://klasma.github.io/Logging_0127/klagomål/A 46953-2023 FSC-klagomål.docx", "A 46953-2023")</f>
        <v/>
      </c>
      <c r="W16">
        <f>HYPERLINK("https://klasma.github.io/Logging_0127/klagomålsmail/A 46953-2023 FSC-klagomål mail.docx", "A 46953-2023")</f>
        <v/>
      </c>
      <c r="X16">
        <f>HYPERLINK("https://klasma.github.io/Logging_0127/tillsyn/A 46953-2023 tillsynsbegäran.docx", "A 46953-2023")</f>
        <v/>
      </c>
      <c r="Y16">
        <f>HYPERLINK("https://klasma.github.io/Logging_0127/tillsynsmail/A 46953-2023 tillsynsbegäran mail.docx", "A 46953-2023")</f>
        <v/>
      </c>
    </row>
    <row r="17" ht="15" customHeight="1">
      <c r="A17" t="inlineStr">
        <is>
          <t>A 26-2025</t>
        </is>
      </c>
      <c r="B17" s="1" t="n">
        <v>45659</v>
      </c>
      <c r="C17" s="1" t="n">
        <v>45875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Granticka
Spillkråka</t>
        </is>
      </c>
      <c r="S17">
        <f>HYPERLINK("https://klasma.github.io/Logging_0127/artfynd/A 26-2025 artfynd.xlsx", "A 26-2025")</f>
        <v/>
      </c>
      <c r="T17">
        <f>HYPERLINK("https://klasma.github.io/Logging_0127/kartor/A 26-2025 karta.png", "A 26-2025")</f>
        <v/>
      </c>
      <c r="V17">
        <f>HYPERLINK("https://klasma.github.io/Logging_0127/klagomål/A 26-2025 FSC-klagomål.docx", "A 26-2025")</f>
        <v/>
      </c>
      <c r="W17">
        <f>HYPERLINK("https://klasma.github.io/Logging_0127/klagomålsmail/A 26-2025 FSC-klagomål mail.docx", "A 26-2025")</f>
        <v/>
      </c>
      <c r="X17">
        <f>HYPERLINK("https://klasma.github.io/Logging_0127/tillsyn/A 26-2025 tillsynsbegäran.docx", "A 26-2025")</f>
        <v/>
      </c>
      <c r="Y17">
        <f>HYPERLINK("https://klasma.github.io/Logging_0127/tillsynsmail/A 26-2025 tillsynsbegäran mail.docx", "A 26-2025")</f>
        <v/>
      </c>
      <c r="Z17">
        <f>HYPERLINK("https://klasma.github.io/Logging_0127/fåglar/A 26-2025 prioriterade fågelarter.docx", "A 26-2025")</f>
        <v/>
      </c>
    </row>
    <row r="18" ht="15" customHeight="1">
      <c r="A18" t="inlineStr">
        <is>
          <t>A 30055-2025</t>
        </is>
      </c>
      <c r="B18" s="1" t="n">
        <v>45826</v>
      </c>
      <c r="C18" s="1" t="n">
        <v>45875</v>
      </c>
      <c r="D18" t="inlineStr">
        <is>
          <t>STOCKHOLMS LÄN</t>
        </is>
      </c>
      <c r="E18" t="inlineStr">
        <is>
          <t>BOTKYRKA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Klasefibbla
Blåsippa</t>
        </is>
      </c>
      <c r="S18">
        <f>HYPERLINK("https://klasma.github.io/Logging_010127/artfynd/A 30055-2025 artfynd.xlsx", "A 30055-2025")</f>
        <v/>
      </c>
      <c r="T18">
        <f>HYPERLINK("https://klasma.github.io/Logging_010127/kartor/A 30055-2025 karta.png", "A 30055-2025")</f>
        <v/>
      </c>
      <c r="V18">
        <f>HYPERLINK("https://klasma.github.io/Logging_010127/klagomål/A 30055-2025 FSC-klagomål.docx", "A 30055-2025")</f>
        <v/>
      </c>
      <c r="W18">
        <f>HYPERLINK("https://klasma.github.io/Logging_010127/klagomålsmail/A 30055-2025 FSC-klagomål mail.docx", "A 30055-2025")</f>
        <v/>
      </c>
      <c r="X18">
        <f>HYPERLINK("https://klasma.github.io/Logging_010127/tillsyn/A 30055-2025 tillsynsbegäran.docx", "A 30055-2025")</f>
        <v/>
      </c>
      <c r="Y18">
        <f>HYPERLINK("https://klasma.github.io/Logging_010127/tillsynsmail/A 30055-2025 tillsynsbegäran mail.docx", "A 30055-2025")</f>
        <v/>
      </c>
    </row>
    <row r="19" ht="15" customHeight="1">
      <c r="A19" t="inlineStr">
        <is>
          <t>A 30067-2025</t>
        </is>
      </c>
      <c r="B19" s="1" t="n">
        <v>45826</v>
      </c>
      <c r="C19" s="1" t="n">
        <v>45875</v>
      </c>
      <c r="D19" t="inlineStr">
        <is>
          <t>STOCKHOLMS LÄN</t>
        </is>
      </c>
      <c r="E19" t="inlineStr">
        <is>
          <t>BOTKYRKA</t>
        </is>
      </c>
      <c r="G19" t="n">
        <v>11.9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Åkergroda
Vanlig groda</t>
        </is>
      </c>
      <c r="S19">
        <f>HYPERLINK("https://klasma.github.io/Logging_010127/artfynd/A 30067-2025 artfynd.xlsx", "A 30067-2025")</f>
        <v/>
      </c>
      <c r="T19">
        <f>HYPERLINK("https://klasma.github.io/Logging_010127/kartor/A 30067-2025 karta.png", "A 30067-2025")</f>
        <v/>
      </c>
      <c r="V19">
        <f>HYPERLINK("https://klasma.github.io/Logging_010127/klagomål/A 30067-2025 FSC-klagomål.docx", "A 30067-2025")</f>
        <v/>
      </c>
      <c r="W19">
        <f>HYPERLINK("https://klasma.github.io/Logging_010127/klagomålsmail/A 30067-2025 FSC-klagomål mail.docx", "A 30067-2025")</f>
        <v/>
      </c>
      <c r="X19">
        <f>HYPERLINK("https://klasma.github.io/Logging_010127/tillsyn/A 30067-2025 tillsynsbegäran.docx", "A 30067-2025")</f>
        <v/>
      </c>
      <c r="Y19">
        <f>HYPERLINK("https://klasma.github.io/Logging_010127/tillsynsmail/A 30067-2025 tillsynsbegäran mail.docx", "A 30067-2025")</f>
        <v/>
      </c>
    </row>
    <row r="20" ht="15" customHeight="1">
      <c r="A20" t="inlineStr">
        <is>
          <t>A 2554-2020</t>
        </is>
      </c>
      <c r="B20" s="1" t="n">
        <v>43847</v>
      </c>
      <c r="C20" s="1" t="n">
        <v>45875</v>
      </c>
      <c r="D20" t="inlineStr">
        <is>
          <t>STOCKHOLMS LÄN</t>
        </is>
      </c>
      <c r="E20" t="inlineStr">
        <is>
          <t>BOTKYRKA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Järnsparv</t>
        </is>
      </c>
      <c r="S20">
        <f>HYPERLINK("https://klasma.github.io/Logging_0127/artfynd/A 2554-2020 artfynd.xlsx", "A 2554-2020")</f>
        <v/>
      </c>
      <c r="T20">
        <f>HYPERLINK("https://klasma.github.io/Logging_0127/kartor/A 2554-2020 karta.png", "A 2554-2020")</f>
        <v/>
      </c>
      <c r="V20">
        <f>HYPERLINK("https://klasma.github.io/Logging_0127/klagomål/A 2554-2020 FSC-klagomål.docx", "A 2554-2020")</f>
        <v/>
      </c>
      <c r="W20">
        <f>HYPERLINK("https://klasma.github.io/Logging_0127/klagomålsmail/A 2554-2020 FSC-klagomål mail.docx", "A 2554-2020")</f>
        <v/>
      </c>
      <c r="X20">
        <f>HYPERLINK("https://klasma.github.io/Logging_0127/tillsyn/A 2554-2020 tillsynsbegäran.docx", "A 2554-2020")</f>
        <v/>
      </c>
      <c r="Y20">
        <f>HYPERLINK("https://klasma.github.io/Logging_0127/tillsynsmail/A 2554-2020 tillsynsbegäran mail.docx", "A 2554-2020")</f>
        <v/>
      </c>
      <c r="Z20">
        <f>HYPERLINK("https://klasma.github.io/Logging_0127/fåglar/A 2554-2020 prioriterade fågelarter.docx", "A 2554-2020")</f>
        <v/>
      </c>
    </row>
    <row r="21" ht="15" customHeight="1">
      <c r="A21" t="inlineStr">
        <is>
          <t>A 16236-2020</t>
        </is>
      </c>
      <c r="B21" s="1" t="n">
        <v>43917</v>
      </c>
      <c r="C21" s="1" t="n">
        <v>45875</v>
      </c>
      <c r="D21" t="inlineStr">
        <is>
          <t>STOCKHOLMS LÄN</t>
        </is>
      </c>
      <c r="E21" t="inlineStr">
        <is>
          <t>BOTKYRKA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Granbarkgnagare</t>
        </is>
      </c>
      <c r="S21">
        <f>HYPERLINK("https://klasma.github.io/Logging_0127/artfynd/A 16236-2020 artfynd.xlsx", "A 16236-2020")</f>
        <v/>
      </c>
      <c r="T21">
        <f>HYPERLINK("https://klasma.github.io/Logging_0127/kartor/A 16236-2020 karta.png", "A 16236-2020")</f>
        <v/>
      </c>
      <c r="V21">
        <f>HYPERLINK("https://klasma.github.io/Logging_0127/klagomål/A 16236-2020 FSC-klagomål.docx", "A 16236-2020")</f>
        <v/>
      </c>
      <c r="W21">
        <f>HYPERLINK("https://klasma.github.io/Logging_0127/klagomålsmail/A 16236-2020 FSC-klagomål mail.docx", "A 16236-2020")</f>
        <v/>
      </c>
      <c r="X21">
        <f>HYPERLINK("https://klasma.github.io/Logging_0127/tillsyn/A 16236-2020 tillsynsbegäran.docx", "A 16236-2020")</f>
        <v/>
      </c>
      <c r="Y21">
        <f>HYPERLINK("https://klasma.github.io/Logging_0127/tillsynsmail/A 16236-2020 tillsynsbegäran mail.docx", "A 16236-2020")</f>
        <v/>
      </c>
    </row>
    <row r="22" ht="15" customHeight="1">
      <c r="A22" t="inlineStr">
        <is>
          <t>A 34971-2020</t>
        </is>
      </c>
      <c r="B22" s="1" t="n">
        <v>44039</v>
      </c>
      <c r="C22" s="1" t="n">
        <v>45875</v>
      </c>
      <c r="D22" t="inlineStr">
        <is>
          <t>STOCKHOLMS LÄN</t>
        </is>
      </c>
      <c r="E22" t="inlineStr">
        <is>
          <t>BOTKYRKA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34971-2020 artfynd.xlsx", "A 34971-2020")</f>
        <v/>
      </c>
      <c r="T22">
        <f>HYPERLINK("https://klasma.github.io/Logging_0127/kartor/A 34971-2020 karta.png", "A 34971-2020")</f>
        <v/>
      </c>
      <c r="V22">
        <f>HYPERLINK("https://klasma.github.io/Logging_0127/klagomål/A 34971-2020 FSC-klagomål.docx", "A 34971-2020")</f>
        <v/>
      </c>
      <c r="W22">
        <f>HYPERLINK("https://klasma.github.io/Logging_0127/klagomålsmail/A 34971-2020 FSC-klagomål mail.docx", "A 34971-2020")</f>
        <v/>
      </c>
      <c r="X22">
        <f>HYPERLINK("https://klasma.github.io/Logging_0127/tillsyn/A 34971-2020 tillsynsbegäran.docx", "A 34971-2020")</f>
        <v/>
      </c>
      <c r="Y22">
        <f>HYPERLINK("https://klasma.github.io/Logging_0127/tillsynsmail/A 34971-2020 tillsynsbegäran mail.docx", "A 34971-2020")</f>
        <v/>
      </c>
    </row>
    <row r="23" ht="15" customHeight="1">
      <c r="A23" t="inlineStr">
        <is>
          <t>A 56816-2021</t>
        </is>
      </c>
      <c r="B23" s="1" t="n">
        <v>44481</v>
      </c>
      <c r="C23" s="1" t="n">
        <v>45875</v>
      </c>
      <c r="D23" t="inlineStr">
        <is>
          <t>STOCKHOLMS LÄN</t>
        </is>
      </c>
      <c r="E23" t="inlineStr">
        <is>
          <t>BOTKYRKA</t>
        </is>
      </c>
      <c r="G23" t="n">
        <v>10.9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HYPERLINK("https://klasma.github.io/Logging_0127/artfynd/A 56816-2021 artfynd.xlsx", "A 56816-2021")</f>
        <v/>
      </c>
      <c r="T23">
        <f>HYPERLINK("https://klasma.github.io/Logging_0127/kartor/A 56816-2021 karta.png", "A 56816-2021")</f>
        <v/>
      </c>
      <c r="V23">
        <f>HYPERLINK("https://klasma.github.io/Logging_0127/klagomål/A 56816-2021 FSC-klagomål.docx", "A 56816-2021")</f>
        <v/>
      </c>
      <c r="W23">
        <f>HYPERLINK("https://klasma.github.io/Logging_0127/klagomålsmail/A 56816-2021 FSC-klagomål mail.docx", "A 56816-2021")</f>
        <v/>
      </c>
      <c r="X23">
        <f>HYPERLINK("https://klasma.github.io/Logging_0127/tillsyn/A 56816-2021 tillsynsbegäran.docx", "A 56816-2021")</f>
        <v/>
      </c>
      <c r="Y23">
        <f>HYPERLINK("https://klasma.github.io/Logging_0127/tillsynsmail/A 56816-2021 tillsynsbegäran mail.docx", "A 56816-2021")</f>
        <v/>
      </c>
      <c r="Z23">
        <f>HYPERLINK("https://klasma.github.io/Logging_0127/fåglar/A 56816-2021 prioriterade fågelarter.docx", "A 56816-2021")</f>
        <v/>
      </c>
    </row>
    <row r="24" ht="15" customHeight="1">
      <c r="A24" t="inlineStr">
        <is>
          <t>A 10469-2022</t>
        </is>
      </c>
      <c r="B24" s="1" t="n">
        <v>44623</v>
      </c>
      <c r="C24" s="1" t="n">
        <v>45875</v>
      </c>
      <c r="D24" t="inlineStr">
        <is>
          <t>STOCKHOLMS LÄN</t>
        </is>
      </c>
      <c r="E24" t="inlineStr">
        <is>
          <t>BOTKYRKA</t>
        </is>
      </c>
      <c r="G24" t="n">
        <v>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10469-2022 artfynd.xlsx", "A 10469-2022")</f>
        <v/>
      </c>
      <c r="T24">
        <f>HYPERLINK("https://klasma.github.io/Logging_0127/kartor/A 10469-2022 karta.png", "A 10469-2022")</f>
        <v/>
      </c>
      <c r="V24">
        <f>HYPERLINK("https://klasma.github.io/Logging_0127/klagomål/A 10469-2022 FSC-klagomål.docx", "A 10469-2022")</f>
        <v/>
      </c>
      <c r="W24">
        <f>HYPERLINK("https://klasma.github.io/Logging_0127/klagomålsmail/A 10469-2022 FSC-klagomål mail.docx", "A 10469-2022")</f>
        <v/>
      </c>
      <c r="X24">
        <f>HYPERLINK("https://klasma.github.io/Logging_0127/tillsyn/A 10469-2022 tillsynsbegäran.docx", "A 10469-2022")</f>
        <v/>
      </c>
      <c r="Y24">
        <f>HYPERLINK("https://klasma.github.io/Logging_0127/tillsynsmail/A 10469-2022 tillsynsbegäran mail.docx", "A 10469-2022")</f>
        <v/>
      </c>
    </row>
    <row r="25" ht="15" customHeight="1">
      <c r="A25" t="inlineStr">
        <is>
          <t>A 18100-2022</t>
        </is>
      </c>
      <c r="B25" s="1" t="n">
        <v>44684</v>
      </c>
      <c r="C25" s="1" t="n">
        <v>45875</v>
      </c>
      <c r="D25" t="inlineStr">
        <is>
          <t>STOCKHOLMS LÄN</t>
        </is>
      </c>
      <c r="E25" t="inlineStr">
        <is>
          <t>BOTKYRKA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HYPERLINK("https://klasma.github.io/Logging_0127/artfynd/A 18100-2022 artfynd.xlsx", "A 18100-2022")</f>
        <v/>
      </c>
      <c r="T25">
        <f>HYPERLINK("https://klasma.github.io/Logging_0127/kartor/A 18100-2022 karta.png", "A 18100-2022")</f>
        <v/>
      </c>
      <c r="V25">
        <f>HYPERLINK("https://klasma.github.io/Logging_0127/klagomål/A 18100-2022 FSC-klagomål.docx", "A 18100-2022")</f>
        <v/>
      </c>
      <c r="W25">
        <f>HYPERLINK("https://klasma.github.io/Logging_0127/klagomålsmail/A 18100-2022 FSC-klagomål mail.docx", "A 18100-2022")</f>
        <v/>
      </c>
      <c r="X25">
        <f>HYPERLINK("https://klasma.github.io/Logging_0127/tillsyn/A 18100-2022 tillsynsbegäran.docx", "A 18100-2022")</f>
        <v/>
      </c>
      <c r="Y25">
        <f>HYPERLINK("https://klasma.github.io/Logging_0127/tillsynsmail/A 18100-2022 tillsynsbegäran mail.docx", "A 18100-2022")</f>
        <v/>
      </c>
    </row>
    <row r="26" ht="15" customHeight="1">
      <c r="A26" t="inlineStr">
        <is>
          <t>A 1347-2023</t>
        </is>
      </c>
      <c r="B26" s="1" t="n">
        <v>44936</v>
      </c>
      <c r="C26" s="1" t="n">
        <v>45875</v>
      </c>
      <c r="D26" t="inlineStr">
        <is>
          <t>STOCKHOLMS LÄN</t>
        </is>
      </c>
      <c r="E26" t="inlineStr">
        <is>
          <t>BOTKYRKA</t>
        </is>
      </c>
      <c r="F26" t="inlineStr">
        <is>
          <t>Övriga Aktiebolag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HYPERLINK("https://klasma.github.io/Logging_0127/artfynd/A 1347-2023 artfynd.xlsx", "A 1347-2023")</f>
        <v/>
      </c>
      <c r="T26">
        <f>HYPERLINK("https://klasma.github.io/Logging_0127/kartor/A 1347-2023 karta.png", "A 1347-2023")</f>
        <v/>
      </c>
      <c r="V26">
        <f>HYPERLINK("https://klasma.github.io/Logging_0127/klagomål/A 1347-2023 FSC-klagomål.docx", "A 1347-2023")</f>
        <v/>
      </c>
      <c r="W26">
        <f>HYPERLINK("https://klasma.github.io/Logging_0127/klagomålsmail/A 1347-2023 FSC-klagomål mail.docx", "A 1347-2023")</f>
        <v/>
      </c>
      <c r="X26">
        <f>HYPERLINK("https://klasma.github.io/Logging_0127/tillsyn/A 1347-2023 tillsynsbegäran.docx", "A 1347-2023")</f>
        <v/>
      </c>
      <c r="Y26">
        <f>HYPERLINK("https://klasma.github.io/Logging_0127/tillsynsmail/A 1347-2023 tillsynsbegäran mail.docx", "A 1347-2023")</f>
        <v/>
      </c>
      <c r="Z26">
        <f>HYPERLINK("https://klasma.github.io/Logging_0127/fåglar/A 1347-2023 prioriterade fågelarter.docx", "A 1347-2023")</f>
        <v/>
      </c>
    </row>
    <row r="27" ht="15" customHeight="1">
      <c r="A27" t="inlineStr">
        <is>
          <t>A 1691-2023</t>
        </is>
      </c>
      <c r="B27" s="1" t="n">
        <v>44938</v>
      </c>
      <c r="C27" s="1" t="n">
        <v>45875</v>
      </c>
      <c r="D27" t="inlineStr">
        <is>
          <t>STOCKHOLMS LÄN</t>
        </is>
      </c>
      <c r="E27" t="inlineStr">
        <is>
          <t>BOTKYRKA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HYPERLINK("https://klasma.github.io/Logging_0127/artfynd/A 1691-2023 artfynd.xlsx", "A 1691-2023")</f>
        <v/>
      </c>
      <c r="T27">
        <f>HYPERLINK("https://klasma.github.io/Logging_0127/kartor/A 1691-2023 karta.png", "A 1691-2023")</f>
        <v/>
      </c>
      <c r="V27">
        <f>HYPERLINK("https://klasma.github.io/Logging_0127/klagomål/A 1691-2023 FSC-klagomål.docx", "A 1691-2023")</f>
        <v/>
      </c>
      <c r="W27">
        <f>HYPERLINK("https://klasma.github.io/Logging_0127/klagomålsmail/A 1691-2023 FSC-klagomål mail.docx", "A 1691-2023")</f>
        <v/>
      </c>
      <c r="X27">
        <f>HYPERLINK("https://klasma.github.io/Logging_0127/tillsyn/A 1691-2023 tillsynsbegäran.docx", "A 1691-2023")</f>
        <v/>
      </c>
      <c r="Y27">
        <f>HYPERLINK("https://klasma.github.io/Logging_0127/tillsynsmail/A 1691-2023 tillsynsbegäran mail.docx", "A 1691-2023")</f>
        <v/>
      </c>
    </row>
    <row r="28" ht="15" customHeight="1">
      <c r="A28" t="inlineStr">
        <is>
          <t>A 5574-2023</t>
        </is>
      </c>
      <c r="B28" s="1" t="n">
        <v>44960</v>
      </c>
      <c r="C28" s="1" t="n">
        <v>45875</v>
      </c>
      <c r="D28" t="inlineStr">
        <is>
          <t>STOCKHOLMS LÄN</t>
        </is>
      </c>
      <c r="E28" t="inlineStr">
        <is>
          <t>BOTKYRKA</t>
        </is>
      </c>
      <c r="G28" t="n">
        <v>1.7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HYPERLINK("https://klasma.github.io/Logging_0127/artfynd/A 5574-2023 artfynd.xlsx", "A 5574-2023")</f>
        <v/>
      </c>
      <c r="T28">
        <f>HYPERLINK("https://klasma.github.io/Logging_0127/kartor/A 5574-2023 karta.png", "A 5574-2023")</f>
        <v/>
      </c>
      <c r="V28">
        <f>HYPERLINK("https://klasma.github.io/Logging_0127/klagomål/A 5574-2023 FSC-klagomål.docx", "A 5574-2023")</f>
        <v/>
      </c>
      <c r="W28">
        <f>HYPERLINK("https://klasma.github.io/Logging_0127/klagomålsmail/A 5574-2023 FSC-klagomål mail.docx", "A 5574-2023")</f>
        <v/>
      </c>
      <c r="X28">
        <f>HYPERLINK("https://klasma.github.io/Logging_0127/tillsyn/A 5574-2023 tillsynsbegäran.docx", "A 5574-2023")</f>
        <v/>
      </c>
      <c r="Y28">
        <f>HYPERLINK("https://klasma.github.io/Logging_0127/tillsynsmail/A 5574-2023 tillsynsbegäran mail.docx", "A 5574-2023")</f>
        <v/>
      </c>
    </row>
    <row r="29" ht="15" customHeight="1">
      <c r="A29" t="inlineStr">
        <is>
          <t>A 23829-2023</t>
        </is>
      </c>
      <c r="B29" s="1" t="n">
        <v>45078</v>
      </c>
      <c r="C29" s="1" t="n">
        <v>45875</v>
      </c>
      <c r="D29" t="inlineStr">
        <is>
          <t>STOCKHOLMS LÄN</t>
        </is>
      </c>
      <c r="E29" t="inlineStr">
        <is>
          <t>BOTKYRKA</t>
        </is>
      </c>
      <c r="F29" t="inlineStr">
        <is>
          <t>Kommuner</t>
        </is>
      </c>
      <c r="G29" t="n">
        <v>3.7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HYPERLINK("https://klasma.github.io/Logging_0127/artfynd/A 23829-2023 artfynd.xlsx", "A 23829-2023")</f>
        <v/>
      </c>
      <c r="T29">
        <f>HYPERLINK("https://klasma.github.io/Logging_0127/kartor/A 23829-2023 karta.png", "A 23829-2023")</f>
        <v/>
      </c>
      <c r="V29">
        <f>HYPERLINK("https://klasma.github.io/Logging_0127/klagomål/A 23829-2023 FSC-klagomål.docx", "A 23829-2023")</f>
        <v/>
      </c>
      <c r="W29">
        <f>HYPERLINK("https://klasma.github.io/Logging_0127/klagomålsmail/A 23829-2023 FSC-klagomål mail.docx", "A 23829-2023")</f>
        <v/>
      </c>
      <c r="X29">
        <f>HYPERLINK("https://klasma.github.io/Logging_0127/tillsyn/A 23829-2023 tillsynsbegäran.docx", "A 23829-2023")</f>
        <v/>
      </c>
      <c r="Y29">
        <f>HYPERLINK("https://klasma.github.io/Logging_0127/tillsynsmail/A 23829-2023 tillsynsbegäran mail.docx", "A 23829-2023")</f>
        <v/>
      </c>
    </row>
    <row r="30" ht="15" customHeight="1">
      <c r="A30" t="inlineStr">
        <is>
          <t>A 14214-2025</t>
        </is>
      </c>
      <c r="B30" s="1" t="n">
        <v>45740</v>
      </c>
      <c r="C30" s="1" t="n">
        <v>45875</v>
      </c>
      <c r="D30" t="inlineStr">
        <is>
          <t>STOCKHOLMS LÄN</t>
        </is>
      </c>
      <c r="E30" t="inlineStr">
        <is>
          <t>BOTKYRKA</t>
        </is>
      </c>
      <c r="G30" t="n">
        <v>2.5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Stare</t>
        </is>
      </c>
      <c r="S30">
        <f>HYPERLINK("https://klasma.github.io/Logging_010127/artfynd/A 14214-2025 artfynd.xlsx", "A 14214-2025")</f>
        <v/>
      </c>
      <c r="T30">
        <f>HYPERLINK("https://klasma.github.io/Logging_010127/kartor/A 14214-2025 karta.png", "A 14214-2025")</f>
        <v/>
      </c>
      <c r="V30">
        <f>HYPERLINK("https://klasma.github.io/Logging_010127/klagomål/A 14214-2025 FSC-klagomål.docx", "A 14214-2025")</f>
        <v/>
      </c>
      <c r="W30">
        <f>HYPERLINK("https://klasma.github.io/Logging_010127/klagomålsmail/A 14214-2025 FSC-klagomål mail.docx", "A 14214-2025")</f>
        <v/>
      </c>
      <c r="X30">
        <f>HYPERLINK("https://klasma.github.io/Logging_010127/tillsyn/A 14214-2025 tillsynsbegäran.docx", "A 14214-2025")</f>
        <v/>
      </c>
      <c r="Y30">
        <f>HYPERLINK("https://klasma.github.io/Logging_010127/tillsynsmail/A 14214-2025 tillsynsbegäran mail.docx", "A 14214-2025")</f>
        <v/>
      </c>
    </row>
    <row r="31" ht="15" customHeight="1">
      <c r="A31" t="inlineStr">
        <is>
          <t>A 40642-2019</t>
        </is>
      </c>
      <c r="B31" s="1" t="n">
        <v>43696</v>
      </c>
      <c r="C31" s="1" t="n">
        <v>45875</v>
      </c>
      <c r="D31" t="inlineStr">
        <is>
          <t>STOCKHOLMS LÄN</t>
        </is>
      </c>
      <c r="E31" t="inlineStr">
        <is>
          <t>BOTKYRKA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40641-2019</t>
        </is>
      </c>
      <c r="B32" s="1" t="n">
        <v>43696</v>
      </c>
      <c r="C32" s="1" t="n">
        <v>45875</v>
      </c>
      <c r="D32" t="inlineStr">
        <is>
          <t>STOCKHOLMS LÄN</t>
        </is>
      </c>
      <c r="E32" t="inlineStr">
        <is>
          <t>BOTKYRKA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42448-2019</t>
        </is>
      </c>
      <c r="B33" s="1" t="n">
        <v>43704</v>
      </c>
      <c r="C33" s="1" t="n">
        <v>45875</v>
      </c>
      <c r="D33" t="inlineStr">
        <is>
          <t>STOCKHOLMS LÄN</t>
        </is>
      </c>
      <c r="E33" t="inlineStr">
        <is>
          <t>BOTKYRKA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51387-2019</t>
        </is>
      </c>
      <c r="B34" s="1" t="n">
        <v>43740</v>
      </c>
      <c r="C34" s="1" t="n">
        <v>45875</v>
      </c>
      <c r="D34" t="inlineStr">
        <is>
          <t>STOCKHOLMS LÄN</t>
        </is>
      </c>
      <c r="E34" t="inlineStr">
        <is>
          <t>BOTKYRKA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10790-2020</t>
        </is>
      </c>
      <c r="B35" s="1" t="n">
        <v>43888</v>
      </c>
      <c r="C35" s="1" t="n">
        <v>45875</v>
      </c>
      <c r="D35" t="inlineStr">
        <is>
          <t>STOCKHOLMS LÄN</t>
        </is>
      </c>
      <c r="E35" t="inlineStr">
        <is>
          <t>BOTKYRKA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10807-2020</t>
        </is>
      </c>
      <c r="B36" s="1" t="n">
        <v>43888</v>
      </c>
      <c r="C36" s="1" t="n">
        <v>45875</v>
      </c>
      <c r="D36" t="inlineStr">
        <is>
          <t>STOCKHOLMS LÄN</t>
        </is>
      </c>
      <c r="E36" t="inlineStr">
        <is>
          <t>BOTKYRKA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12321-2020</t>
        </is>
      </c>
      <c r="B37" s="1" t="n">
        <v>43895</v>
      </c>
      <c r="C37" s="1" t="n">
        <v>45875</v>
      </c>
      <c r="D37" t="inlineStr">
        <is>
          <t>STOCKHOLMS LÄN</t>
        </is>
      </c>
      <c r="E37" t="inlineStr">
        <is>
          <t>BOTKYRKA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12320-2020</t>
        </is>
      </c>
      <c r="B38" s="1" t="n">
        <v>43895</v>
      </c>
      <c r="C38" s="1" t="n">
        <v>45875</v>
      </c>
      <c r="D38" t="inlineStr">
        <is>
          <t>STOCKHOLMS LÄN</t>
        </is>
      </c>
      <c r="E38" t="inlineStr">
        <is>
          <t>BOTKYRKA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12988-2020</t>
        </is>
      </c>
      <c r="B39" s="1" t="n">
        <v>43900</v>
      </c>
      <c r="C39" s="1" t="n">
        <v>45875</v>
      </c>
      <c r="D39" t="inlineStr">
        <is>
          <t>STOCKHOLMS LÄN</t>
        </is>
      </c>
      <c r="E39" t="inlineStr">
        <is>
          <t>BOTKYRKA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16048-2020</t>
        </is>
      </c>
      <c r="B40" s="1" t="n">
        <v>43916</v>
      </c>
      <c r="C40" s="1" t="n">
        <v>45875</v>
      </c>
      <c r="D40" t="inlineStr">
        <is>
          <t>STOCKHOLMS LÄN</t>
        </is>
      </c>
      <c r="E40" t="inlineStr">
        <is>
          <t>BOTKYRKA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21645-2020</t>
        </is>
      </c>
      <c r="B41" s="1" t="n">
        <v>43956</v>
      </c>
      <c r="C41" s="1" t="n">
        <v>45875</v>
      </c>
      <c r="D41" t="inlineStr">
        <is>
          <t>STOCKHOLMS LÄN</t>
        </is>
      </c>
      <c r="E41" t="inlineStr">
        <is>
          <t>BOTKYRKA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23426-2020</t>
        </is>
      </c>
      <c r="B42" s="1" t="n">
        <v>43969</v>
      </c>
      <c r="C42" s="1" t="n">
        <v>45875</v>
      </c>
      <c r="D42" t="inlineStr">
        <is>
          <t>STOCKHOLMS LÄN</t>
        </is>
      </c>
      <c r="E42" t="inlineStr">
        <is>
          <t>BOTKYRKA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33881-2020</t>
        </is>
      </c>
      <c r="B43" s="1" t="n">
        <v>44025</v>
      </c>
      <c r="C43" s="1" t="n">
        <v>45875</v>
      </c>
      <c r="D43" t="inlineStr">
        <is>
          <t>STOCKHOLMS LÄN</t>
        </is>
      </c>
      <c r="E43" t="inlineStr">
        <is>
          <t>BOTKYRKA</t>
        </is>
      </c>
      <c r="G43" t="n">
        <v>5.9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39531-2020</t>
        </is>
      </c>
      <c r="B44" s="1" t="n">
        <v>44064</v>
      </c>
      <c r="C44" s="1" t="n">
        <v>45875</v>
      </c>
      <c r="D44" t="inlineStr">
        <is>
          <t>STOCKHOLMS LÄN</t>
        </is>
      </c>
      <c r="E44" t="inlineStr">
        <is>
          <t>BOTKYRKA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54002-2020</t>
        </is>
      </c>
      <c r="B45" s="1" t="n">
        <v>44125</v>
      </c>
      <c r="C45" s="1" t="n">
        <v>45875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45875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55200-2020</t>
        </is>
      </c>
      <c r="B47" s="1" t="n">
        <v>44130</v>
      </c>
      <c r="C47" s="1" t="n">
        <v>45875</v>
      </c>
      <c r="D47" t="inlineStr">
        <is>
          <t>STOCKHOLMS LÄN</t>
        </is>
      </c>
      <c r="E47" t="inlineStr">
        <is>
          <t>BOTKYRKA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57809-2020</t>
        </is>
      </c>
      <c r="B48" s="1" t="n">
        <v>44141</v>
      </c>
      <c r="C48" s="1" t="n">
        <v>45875</v>
      </c>
      <c r="D48" t="inlineStr">
        <is>
          <t>STOCKHOLMS LÄN</t>
        </is>
      </c>
      <c r="E48" t="inlineStr">
        <is>
          <t>BOTKYRKA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58517-2020</t>
        </is>
      </c>
      <c r="B49" s="1" t="n">
        <v>44145</v>
      </c>
      <c r="C49" s="1" t="n">
        <v>45875</v>
      </c>
      <c r="D49" t="inlineStr">
        <is>
          <t>STOCKHOLMS LÄN</t>
        </is>
      </c>
      <c r="E49" t="inlineStr">
        <is>
          <t>BOTKYRKA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58531-2020</t>
        </is>
      </c>
      <c r="B50" s="1" t="n">
        <v>44145</v>
      </c>
      <c r="C50" s="1" t="n">
        <v>45875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177-2021</t>
        </is>
      </c>
      <c r="B51" s="1" t="n">
        <v>44200</v>
      </c>
      <c r="C51" s="1" t="n">
        <v>45875</v>
      </c>
      <c r="D51" t="inlineStr">
        <is>
          <t>STOCKHOLMS LÄN</t>
        </is>
      </c>
      <c r="E51" t="inlineStr">
        <is>
          <t>BOTKYRKA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4281-2021</t>
        </is>
      </c>
      <c r="B52" s="1" t="n">
        <v>44223</v>
      </c>
      <c r="C52" s="1" t="n">
        <v>45875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6.4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10808-2021</t>
        </is>
      </c>
      <c r="B53" s="1" t="n">
        <v>44259</v>
      </c>
      <c r="C53" s="1" t="n">
        <v>45875</v>
      </c>
      <c r="D53" t="inlineStr">
        <is>
          <t>STOCKHOLMS LÄN</t>
        </is>
      </c>
      <c r="E53" t="inlineStr">
        <is>
          <t>BOTKYRKA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10817-2021</t>
        </is>
      </c>
      <c r="B54" s="1" t="n">
        <v>44259</v>
      </c>
      <c r="C54" s="1" t="n">
        <v>45875</v>
      </c>
      <c r="D54" t="inlineStr">
        <is>
          <t>STOCKHOLMS LÄN</t>
        </is>
      </c>
      <c r="E54" t="inlineStr">
        <is>
          <t>BOTKYRKA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10815-2021</t>
        </is>
      </c>
      <c r="B55" s="1" t="n">
        <v>44259</v>
      </c>
      <c r="C55" s="1" t="n">
        <v>45875</v>
      </c>
      <c r="D55" t="inlineStr">
        <is>
          <t>STOCKHOLMS LÄN</t>
        </is>
      </c>
      <c r="E55" t="inlineStr">
        <is>
          <t>BOTKYRKA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20210-2021</t>
        </is>
      </c>
      <c r="B56" s="1" t="n">
        <v>44314</v>
      </c>
      <c r="C56" s="1" t="n">
        <v>45875</v>
      </c>
      <c r="D56" t="inlineStr">
        <is>
          <t>STOCKHOLMS LÄN</t>
        </is>
      </c>
      <c r="E56" t="inlineStr">
        <is>
          <t>BOTKYRKA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27791-2021</t>
        </is>
      </c>
      <c r="B57" s="1" t="n">
        <v>44354</v>
      </c>
      <c r="C57" s="1" t="n">
        <v>45875</v>
      </c>
      <c r="D57" t="inlineStr">
        <is>
          <t>STOCKHOLMS LÄN</t>
        </is>
      </c>
      <c r="E57" t="inlineStr">
        <is>
          <t>BOTKYRKA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33016-2021</t>
        </is>
      </c>
      <c r="B58" s="1" t="n">
        <v>44376</v>
      </c>
      <c r="C58" s="1" t="n">
        <v>45875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33015-2021</t>
        </is>
      </c>
      <c r="B59" s="1" t="n">
        <v>44376</v>
      </c>
      <c r="C59" s="1" t="n">
        <v>45875</v>
      </c>
      <c r="D59" t="inlineStr">
        <is>
          <t>STOCKHOLMS LÄN</t>
        </is>
      </c>
      <c r="E59" t="inlineStr">
        <is>
          <t>BOTKYRKA</t>
        </is>
      </c>
      <c r="G59" t="n">
        <v>48.7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35492-2021</t>
        </is>
      </c>
      <c r="B60" s="1" t="n">
        <v>44385</v>
      </c>
      <c r="C60" s="1" t="n">
        <v>45875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36097-2021</t>
        </is>
      </c>
      <c r="B61" s="1" t="n">
        <v>44389</v>
      </c>
      <c r="C61" s="1" t="n">
        <v>45875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37095-2021</t>
        </is>
      </c>
      <c r="B62" s="1" t="n">
        <v>44395</v>
      </c>
      <c r="C62" s="1" t="n">
        <v>45875</v>
      </c>
      <c r="D62" t="inlineStr">
        <is>
          <t>STOCKHOLMS LÄN</t>
        </is>
      </c>
      <c r="E62" t="inlineStr">
        <is>
          <t>BOTKYRKA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43717-2021</t>
        </is>
      </c>
      <c r="B63" s="1" t="n">
        <v>44433</v>
      </c>
      <c r="C63" s="1" t="n">
        <v>45875</v>
      </c>
      <c r="D63" t="inlineStr">
        <is>
          <t>STOCKHOLMS LÄN</t>
        </is>
      </c>
      <c r="E63" t="inlineStr">
        <is>
          <t>BOTKYRKA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52035-2021</t>
        </is>
      </c>
      <c r="B64" s="1" t="n">
        <v>44463</v>
      </c>
      <c r="C64" s="1" t="n">
        <v>45875</v>
      </c>
      <c r="D64" t="inlineStr">
        <is>
          <t>STOCKHOLMS LÄN</t>
        </is>
      </c>
      <c r="E64" t="inlineStr">
        <is>
          <t>BOTKYRKA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73151-2021</t>
        </is>
      </c>
      <c r="B65" s="1" t="n">
        <v>44550</v>
      </c>
      <c r="C65" s="1" t="n">
        <v>45875</v>
      </c>
      <c r="D65" t="inlineStr">
        <is>
          <t>STOCKHOLMS LÄN</t>
        </is>
      </c>
      <c r="E65" t="inlineStr">
        <is>
          <t>BOTKYRKA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73155-2021</t>
        </is>
      </c>
      <c r="B66" s="1" t="n">
        <v>44550</v>
      </c>
      <c r="C66" s="1" t="n">
        <v>45875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73194-2021</t>
        </is>
      </c>
      <c r="B67" s="1" t="n">
        <v>44550</v>
      </c>
      <c r="C67" s="1" t="n">
        <v>45875</v>
      </c>
      <c r="D67" t="inlineStr">
        <is>
          <t>STOCKHOLMS LÄN</t>
        </is>
      </c>
      <c r="E67" t="inlineStr">
        <is>
          <t>BOTKYRKA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73772-2021</t>
        </is>
      </c>
      <c r="B68" s="1" t="n">
        <v>44552</v>
      </c>
      <c r="C68" s="1" t="n">
        <v>45875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3681-2022</t>
        </is>
      </c>
      <c r="B69" s="1" t="n">
        <v>44586</v>
      </c>
      <c r="C69" s="1" t="n">
        <v>45875</v>
      </c>
      <c r="D69" t="inlineStr">
        <is>
          <t>STOCKHOLMS LÄN</t>
        </is>
      </c>
      <c r="E69" t="inlineStr">
        <is>
          <t>BOTKYRKA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3686-2022</t>
        </is>
      </c>
      <c r="B70" s="1" t="n">
        <v>44586</v>
      </c>
      <c r="C70" s="1" t="n">
        <v>45875</v>
      </c>
      <c r="D70" t="inlineStr">
        <is>
          <t>STOCKHOLMS LÄN</t>
        </is>
      </c>
      <c r="E70" t="inlineStr">
        <is>
          <t>BOTKYRKA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3671-2022</t>
        </is>
      </c>
      <c r="B71" s="1" t="n">
        <v>44586</v>
      </c>
      <c r="C71" s="1" t="n">
        <v>45875</v>
      </c>
      <c r="D71" t="inlineStr">
        <is>
          <t>STOCKHOLMS LÄN</t>
        </is>
      </c>
      <c r="E71" t="inlineStr">
        <is>
          <t>BOTKYRKA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3726-2022</t>
        </is>
      </c>
      <c r="B72" s="1" t="n">
        <v>44586</v>
      </c>
      <c r="C72" s="1" t="n">
        <v>45875</v>
      </c>
      <c r="D72" t="inlineStr">
        <is>
          <t>STOCKHOLMS LÄN</t>
        </is>
      </c>
      <c r="E72" t="inlineStr">
        <is>
          <t>BOTKYRKA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45875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11095-2022</t>
        </is>
      </c>
      <c r="B74" s="1" t="n">
        <v>44628</v>
      </c>
      <c r="C74" s="1" t="n">
        <v>45875</v>
      </c>
      <c r="D74" t="inlineStr">
        <is>
          <t>STOCKHOLMS LÄN</t>
        </is>
      </c>
      <c r="E74" t="inlineStr">
        <is>
          <t>BOTKYRKA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15825-2022</t>
        </is>
      </c>
      <c r="B75" s="1" t="n">
        <v>44664</v>
      </c>
      <c r="C75" s="1" t="n">
        <v>45875</v>
      </c>
      <c r="D75" t="inlineStr">
        <is>
          <t>STOCKHOLMS LÄN</t>
        </is>
      </c>
      <c r="E75" t="inlineStr">
        <is>
          <t>BOTKYRKA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15905-2022</t>
        </is>
      </c>
      <c r="B76" s="1" t="n">
        <v>44664</v>
      </c>
      <c r="C76" s="1" t="n">
        <v>45875</v>
      </c>
      <c r="D76" t="inlineStr">
        <is>
          <t>STOCKHOLMS LÄN</t>
        </is>
      </c>
      <c r="E76" t="inlineStr">
        <is>
          <t>BOTKYRKA</t>
        </is>
      </c>
      <c r="G76" t="n">
        <v>11.2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17789-2022</t>
        </is>
      </c>
      <c r="B77" s="1" t="n">
        <v>44680</v>
      </c>
      <c r="C77" s="1" t="n">
        <v>45875</v>
      </c>
      <c r="D77" t="inlineStr">
        <is>
          <t>STOCKHOLMS LÄN</t>
        </is>
      </c>
      <c r="E77" t="inlineStr">
        <is>
          <t>BOTKYRKA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18093-2022</t>
        </is>
      </c>
      <c r="B78" s="1" t="n">
        <v>44684</v>
      </c>
      <c r="C78" s="1" t="n">
        <v>45875</v>
      </c>
      <c r="D78" t="inlineStr">
        <is>
          <t>STOCKHOLMS LÄN</t>
        </is>
      </c>
      <c r="E78" t="inlineStr">
        <is>
          <t>BOTKYRKA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20649-2022</t>
        </is>
      </c>
      <c r="B79" s="1" t="n">
        <v>44700</v>
      </c>
      <c r="C79" s="1" t="n">
        <v>45875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32828-2022</t>
        </is>
      </c>
      <c r="B80" s="1" t="n">
        <v>44784</v>
      </c>
      <c r="C80" s="1" t="n">
        <v>45875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38194-2022</t>
        </is>
      </c>
      <c r="B81" s="1" t="n">
        <v>44812</v>
      </c>
      <c r="C81" s="1" t="n">
        <v>45875</v>
      </c>
      <c r="D81" t="inlineStr">
        <is>
          <t>STOCKHOLMS LÄN</t>
        </is>
      </c>
      <c r="E81" t="inlineStr">
        <is>
          <t>BOTKYRKA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38202-2022</t>
        </is>
      </c>
      <c r="B82" s="1" t="n">
        <v>44812</v>
      </c>
      <c r="C82" s="1" t="n">
        <v>45875</v>
      </c>
      <c r="D82" t="inlineStr">
        <is>
          <t>STOCKHOLMS LÄN</t>
        </is>
      </c>
      <c r="E82" t="inlineStr">
        <is>
          <t>BOTKYRKA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38196-2022</t>
        </is>
      </c>
      <c r="B83" s="1" t="n">
        <v>44812</v>
      </c>
      <c r="C83" s="1" t="n">
        <v>45875</v>
      </c>
      <c r="D83" t="inlineStr">
        <is>
          <t>STOCKHOLMS LÄN</t>
        </is>
      </c>
      <c r="E83" t="inlineStr">
        <is>
          <t>BOTKYRKA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38543-2022</t>
        </is>
      </c>
      <c r="B84" s="1" t="n">
        <v>44813</v>
      </c>
      <c r="C84" s="1" t="n">
        <v>45875</v>
      </c>
      <c r="D84" t="inlineStr">
        <is>
          <t>STOCKHOLMS LÄN</t>
        </is>
      </c>
      <c r="E84" t="inlineStr">
        <is>
          <t>BOTKYRKA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45869-2022</t>
        </is>
      </c>
      <c r="B85" s="1" t="n">
        <v>44844</v>
      </c>
      <c r="C85" s="1" t="n">
        <v>45875</v>
      </c>
      <c r="D85" t="inlineStr">
        <is>
          <t>STOCKHOLMS LÄN</t>
        </is>
      </c>
      <c r="E85" t="inlineStr">
        <is>
          <t>BOTKYRKA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46405-2022</t>
        </is>
      </c>
      <c r="B86" s="1" t="n">
        <v>44846</v>
      </c>
      <c r="C86" s="1" t="n">
        <v>45875</v>
      </c>
      <c r="D86" t="inlineStr">
        <is>
          <t>STOCKHOLMS LÄN</t>
        </is>
      </c>
      <c r="E86" t="inlineStr">
        <is>
          <t>BOTKYRKA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47617-2022</t>
        </is>
      </c>
      <c r="B87" s="1" t="n">
        <v>44852</v>
      </c>
      <c r="C87" s="1" t="n">
        <v>45875</v>
      </c>
      <c r="D87" t="inlineStr">
        <is>
          <t>STOCKHOLMS LÄN</t>
        </is>
      </c>
      <c r="E87" t="inlineStr">
        <is>
          <t>BOTKYRKA</t>
        </is>
      </c>
      <c r="G87" t="n">
        <v>11.6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48647-2022</t>
        </is>
      </c>
      <c r="B88" s="1" t="n">
        <v>44859</v>
      </c>
      <c r="C88" s="1" t="n">
        <v>45875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48667-2022</t>
        </is>
      </c>
      <c r="B89" s="1" t="n">
        <v>44859</v>
      </c>
      <c r="C89" s="1" t="n">
        <v>45875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48656-2022</t>
        </is>
      </c>
      <c r="B90" s="1" t="n">
        <v>44859</v>
      </c>
      <c r="C90" s="1" t="n">
        <v>45875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57876-2022</t>
        </is>
      </c>
      <c r="B91" s="1" t="n">
        <v>44899</v>
      </c>
      <c r="C91" s="1" t="n">
        <v>45875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58618-2022</t>
        </is>
      </c>
      <c r="B92" s="1" t="n">
        <v>44902</v>
      </c>
      <c r="C92" s="1" t="n">
        <v>45875</v>
      </c>
      <c r="D92" t="inlineStr">
        <is>
          <t>STOCKHOLMS LÄN</t>
        </is>
      </c>
      <c r="E92" t="inlineStr">
        <is>
          <t>BOTKYRKA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61242-2022</t>
        </is>
      </c>
      <c r="B93" s="1" t="n">
        <v>44915</v>
      </c>
      <c r="C93" s="1" t="n">
        <v>45875</v>
      </c>
      <c r="D93" t="inlineStr">
        <is>
          <t>STOCKHOLMS LÄN</t>
        </is>
      </c>
      <c r="E93" t="inlineStr">
        <is>
          <t>BOTKYRKA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61225-2022</t>
        </is>
      </c>
      <c r="B94" s="1" t="n">
        <v>44915</v>
      </c>
      <c r="C94" s="1" t="n">
        <v>45875</v>
      </c>
      <c r="D94" t="inlineStr">
        <is>
          <t>STOCKHOLMS LÄN</t>
        </is>
      </c>
      <c r="E94" t="inlineStr">
        <is>
          <t>BOTKYRKA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61516-2022</t>
        </is>
      </c>
      <c r="B95" s="1" t="n">
        <v>44916</v>
      </c>
      <c r="C95" s="1" t="n">
        <v>45875</v>
      </c>
      <c r="D95" t="inlineStr">
        <is>
          <t>STOCKHOLMS LÄN</t>
        </is>
      </c>
      <c r="E95" t="inlineStr">
        <is>
          <t>BOTKYRKA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61514-2022</t>
        </is>
      </c>
      <c r="B96" s="1" t="n">
        <v>44916</v>
      </c>
      <c r="C96" s="1" t="n">
        <v>45875</v>
      </c>
      <c r="D96" t="inlineStr">
        <is>
          <t>STOCKHOLMS LÄN</t>
        </is>
      </c>
      <c r="E96" t="inlineStr">
        <is>
          <t>BOTKYRKA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45875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45875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45875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45875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45875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45875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45875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45875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45875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45875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45875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45875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45875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45875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45875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45875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45875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45875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45875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45875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45875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45875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45875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45875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45875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45875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45875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45875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45875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45875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45875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45875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45875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45875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45875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45875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45875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45875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45875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45875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45875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45875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45875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45875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45875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45875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45875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45875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45875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45875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45875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45875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45875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45875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45875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45875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45875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2025-08-06T19:59:10Z</dcterms:created>
  <dcterms:modified xmlns:dcterms="http://purl.org/dc/terms/" xmlns:xsi="http://www.w3.org/2001/XMLSchema-instance" xsi:type="dcterms:W3CDTF">2025-08-06T19:59:10Z</dcterms:modified>
</cp:coreProperties>
</file>