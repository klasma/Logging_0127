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46077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46077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46077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24599-2022</t>
        </is>
      </c>
      <c r="B5" s="1" t="n">
        <v>44727</v>
      </c>
      <c r="C5" s="1" t="n">
        <v>46077</v>
      </c>
      <c r="D5" t="inlineStr">
        <is>
          <t>STOCKHOLMS LÄN</t>
        </is>
      </c>
      <c r="E5" t="inlineStr">
        <is>
          <t>BOTKYRKA</t>
        </is>
      </c>
      <c r="G5" t="n">
        <v>1.5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Almsnabbvinge
Svartpälsbi
Igelkottsröksvamp
Sotriska
Vanlig groda
Mattlummer</t>
        </is>
      </c>
      <c r="S5">
        <f>HYPERLINK("https://klasma.github.io/Logging_0127/artfynd/A 24599-2022 artfynd.xlsx", "A 24599-2022")</f>
        <v/>
      </c>
      <c r="T5">
        <f>HYPERLINK("https://klasma.github.io/Logging_0127/kartor/A 24599-2022 karta.png", "A 24599-2022")</f>
        <v/>
      </c>
      <c r="V5">
        <f>HYPERLINK("https://klasma.github.io/Logging_0127/klagomål/A 24599-2022 FSC-klagomål.docx", "A 24599-2022")</f>
        <v/>
      </c>
      <c r="W5">
        <f>HYPERLINK("https://klasma.github.io/Logging_0127/klagomålsmail/A 24599-2022 FSC-klagomål mail.docx", "A 24599-2022")</f>
        <v/>
      </c>
      <c r="X5">
        <f>HYPERLINK("https://klasma.github.io/Logging_0127/tillsyn/A 24599-2022 tillsynsbegäran.docx", "A 24599-2022")</f>
        <v/>
      </c>
      <c r="Y5">
        <f>HYPERLINK("https://klasma.github.io/Logging_0127/tillsynsmail/A 24599-2022 tillsynsbegäran mail.docx", "A 24599-2022")</f>
        <v/>
      </c>
    </row>
    <row r="6" ht="15" customHeight="1">
      <c r="A6" t="inlineStr">
        <is>
          <t>A 60416-2025</t>
        </is>
      </c>
      <c r="B6" s="1" t="n">
        <v>45995.45151620371</v>
      </c>
      <c r="C6" s="1" t="n">
        <v>46077</v>
      </c>
      <c r="D6" t="inlineStr">
        <is>
          <t>STOCKHOLMS LÄN</t>
        </is>
      </c>
      <c r="E6" t="inlineStr">
        <is>
          <t>BOTKYRKA</t>
        </is>
      </c>
      <c r="F6" t="inlineStr">
        <is>
          <t>Övriga Aktiebolag</t>
        </is>
      </c>
      <c r="G6" t="n">
        <v>1.9</v>
      </c>
      <c r="H6" t="n">
        <v>4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6</v>
      </c>
      <c r="R6" s="2" t="inlineStr">
        <is>
          <t>Entita
Grön aspvedbock
Spillkråka
Tallticka
Talltita
Gröngöling</t>
        </is>
      </c>
      <c r="S6">
        <f>HYPERLINK("https://klasma.github.io/Logging_0127/artfynd/A 60416-2025 artfynd.xlsx", "A 60416-2025")</f>
        <v/>
      </c>
      <c r="T6">
        <f>HYPERLINK("https://klasma.github.io/Logging_0127/kartor/A 60416-2025 karta.png", "A 60416-2025")</f>
        <v/>
      </c>
      <c r="V6">
        <f>HYPERLINK("https://klasma.github.io/Logging_0127/klagomål/A 60416-2025 FSC-klagomål.docx", "A 60416-2025")</f>
        <v/>
      </c>
      <c r="W6">
        <f>HYPERLINK("https://klasma.github.io/Logging_0127/klagomålsmail/A 60416-2025 FSC-klagomål mail.docx", "A 60416-2025")</f>
        <v/>
      </c>
      <c r="X6">
        <f>HYPERLINK("https://klasma.github.io/Logging_0127/tillsyn/A 60416-2025 tillsynsbegäran.docx", "A 60416-2025")</f>
        <v/>
      </c>
      <c r="Y6">
        <f>HYPERLINK("https://klasma.github.io/Logging_0127/tillsynsmail/A 60416-2025 tillsynsbegäran mail.docx", "A 60416-2025")</f>
        <v/>
      </c>
      <c r="Z6">
        <f>HYPERLINK("https://klasma.github.io/Logging_0127/fåglar/A 60416-2025 prioriterade fågelarter.docx", "A 60416-2025")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46077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46077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46077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46077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60406-2025</t>
        </is>
      </c>
      <c r="B11" s="1" t="n">
        <v>45995.43050925926</v>
      </c>
      <c r="C11" s="1" t="n">
        <v>46077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2.3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Mindre märgborre</t>
        </is>
      </c>
      <c r="S11">
        <f>HYPERLINK("https://klasma.github.io/Logging_0127/artfynd/A 60406-2025 artfynd.xlsx", "A 60406-2025")</f>
        <v/>
      </c>
      <c r="T11">
        <f>HYPERLINK("https://klasma.github.io/Logging_0127/kartor/A 60406-2025 karta.png", "A 60406-2025")</f>
        <v/>
      </c>
      <c r="V11">
        <f>HYPERLINK("https://klasma.github.io/Logging_0127/klagomål/A 60406-2025 FSC-klagomål.docx", "A 60406-2025")</f>
        <v/>
      </c>
      <c r="W11">
        <f>HYPERLINK("https://klasma.github.io/Logging_0127/klagomålsmail/A 60406-2025 FSC-klagomål mail.docx", "A 60406-2025")</f>
        <v/>
      </c>
      <c r="X11">
        <f>HYPERLINK("https://klasma.github.io/Logging_0127/tillsyn/A 60406-2025 tillsynsbegäran.docx", "A 60406-2025")</f>
        <v/>
      </c>
      <c r="Y11">
        <f>HYPERLINK("https://klasma.github.io/Logging_0127/tillsynsmail/A 60406-2025 tillsynsbegäran mail.docx", "A 60406-2025")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46077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46077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46077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46077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46077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46077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46077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23829-2023</t>
        </is>
      </c>
      <c r="B19" s="1" t="n">
        <v>45078</v>
      </c>
      <c r="C19" s="1" t="n">
        <v>46077</v>
      </c>
      <c r="D19" t="inlineStr">
        <is>
          <t>STOCKHOLMS LÄN</t>
        </is>
      </c>
      <c r="E19" t="inlineStr">
        <is>
          <t>BOTKYRKA</t>
        </is>
      </c>
      <c r="F19" t="inlineStr">
        <is>
          <t>Kommuner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Fjällig taggsvamp s.str.</t>
        </is>
      </c>
      <c r="S19">
        <f>HYPERLINK("https://klasma.github.io/Logging_0127/artfynd/A 23829-2023 artfynd.xlsx", "A 23829-2023")</f>
        <v/>
      </c>
      <c r="T19">
        <f>HYPERLINK("https://klasma.github.io/Logging_0127/kartor/A 23829-2023 karta.png", "A 23829-2023")</f>
        <v/>
      </c>
      <c r="V19">
        <f>HYPERLINK("https://klasma.github.io/Logging_0127/klagomål/A 23829-2023 FSC-klagomål.docx", "A 23829-2023")</f>
        <v/>
      </c>
      <c r="W19">
        <f>HYPERLINK("https://klasma.github.io/Logging_0127/klagomålsmail/A 23829-2023 FSC-klagomål mail.docx", "A 23829-2023")</f>
        <v/>
      </c>
      <c r="X19">
        <f>HYPERLINK("https://klasma.github.io/Logging_0127/tillsyn/A 23829-2023 tillsynsbegäran.docx", "A 23829-2023")</f>
        <v/>
      </c>
      <c r="Y19">
        <f>HYPERLINK("https://klasma.github.io/Logging_0127/tillsynsmail/A 23829-2023 tillsynsbegäran mail.docx", "A 23829-2023")</f>
        <v/>
      </c>
    </row>
    <row r="20" ht="15" customHeight="1">
      <c r="A20" t="inlineStr">
        <is>
          <t>A 33801-2025</t>
        </is>
      </c>
      <c r="B20" s="1" t="n">
        <v>45842</v>
      </c>
      <c r="C20" s="1" t="n">
        <v>46077</v>
      </c>
      <c r="D20" t="inlineStr">
        <is>
          <t>STOCKHOLMS LÄN</t>
        </is>
      </c>
      <c r="E20" t="inlineStr">
        <is>
          <t>BOTKYRKA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HYPERLINK("https://klasma.github.io/Logging_0127/artfynd/A 33801-2025 artfynd.xlsx", "A 33801-2025")</f>
        <v/>
      </c>
      <c r="T20">
        <f>HYPERLINK("https://klasma.github.io/Logging_0127/kartor/A 33801-2025 karta.png", "A 33801-2025")</f>
        <v/>
      </c>
      <c r="V20">
        <f>HYPERLINK("https://klasma.github.io/Logging_0127/klagomål/A 33801-2025 FSC-klagomål.docx", "A 33801-2025")</f>
        <v/>
      </c>
      <c r="W20">
        <f>HYPERLINK("https://klasma.github.io/Logging_0127/klagomålsmail/A 33801-2025 FSC-klagomål mail.docx", "A 33801-2025")</f>
        <v/>
      </c>
      <c r="X20">
        <f>HYPERLINK("https://klasma.github.io/Logging_0127/tillsyn/A 33801-2025 tillsynsbegäran.docx", "A 33801-2025")</f>
        <v/>
      </c>
      <c r="Y20">
        <f>HYPERLINK("https://klasma.github.io/Logging_0127/tillsynsmail/A 33801-2025 tillsynsbegäran mail.docx", "A 33801-2025")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46077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48667-2022</t>
        </is>
      </c>
      <c r="B22" s="1" t="n">
        <v>44859</v>
      </c>
      <c r="C22" s="1" t="n">
        <v>46077</v>
      </c>
      <c r="D22" t="inlineStr">
        <is>
          <t>STOCKHOLMS LÄN</t>
        </is>
      </c>
      <c r="E22" t="inlineStr">
        <is>
          <t>BOTKYRKA</t>
        </is>
      </c>
      <c r="F22" t="inlineStr">
        <is>
          <t>Övriga Aktiebolag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32828-2022</t>
        </is>
      </c>
      <c r="B23" s="1" t="n">
        <v>44784</v>
      </c>
      <c r="C23" s="1" t="n">
        <v>46077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43717-2021</t>
        </is>
      </c>
      <c r="B24" s="1" t="n">
        <v>44433.62546296296</v>
      </c>
      <c r="C24" s="1" t="n">
        <v>46077</v>
      </c>
      <c r="D24" t="inlineStr">
        <is>
          <t>STOCKHOLMS LÄN</t>
        </is>
      </c>
      <c r="E24" t="inlineStr">
        <is>
          <t>BOTKYRKA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33015-2021</t>
        </is>
      </c>
      <c r="B25" s="1" t="n">
        <v>44376</v>
      </c>
      <c r="C25" s="1" t="n">
        <v>46077</v>
      </c>
      <c r="D25" t="inlineStr">
        <is>
          <t>STOCKHOLMS LÄN</t>
        </is>
      </c>
      <c r="E25" t="inlineStr">
        <is>
          <t>BOTKYRKA</t>
        </is>
      </c>
      <c r="G25" t="n">
        <v>48.7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33016-2021</t>
        </is>
      </c>
      <c r="B26" s="1" t="n">
        <v>44376</v>
      </c>
      <c r="C26" s="1" t="n">
        <v>46077</v>
      </c>
      <c r="D26" t="inlineStr">
        <is>
          <t>STOCKHOLMS LÄN</t>
        </is>
      </c>
      <c r="E26" t="inlineStr">
        <is>
          <t>BOTKYRKA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3681-2022</t>
        </is>
      </c>
      <c r="B27" s="1" t="n">
        <v>44586</v>
      </c>
      <c r="C27" s="1" t="n">
        <v>46077</v>
      </c>
      <c r="D27" t="inlineStr">
        <is>
          <t>STOCKHOLMS LÄN</t>
        </is>
      </c>
      <c r="E27" t="inlineStr">
        <is>
          <t>BOTKYRKA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73772-2021</t>
        </is>
      </c>
      <c r="B28" s="1" t="n">
        <v>44552</v>
      </c>
      <c r="C28" s="1" t="n">
        <v>46077</v>
      </c>
      <c r="D28" t="inlineStr">
        <is>
          <t>STOCKHOLMS LÄN</t>
        </is>
      </c>
      <c r="E28" t="inlineStr">
        <is>
          <t>BOTKYRKA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20210-2021</t>
        </is>
      </c>
      <c r="B29" s="1" t="n">
        <v>44314</v>
      </c>
      <c r="C29" s="1" t="n">
        <v>46077</v>
      </c>
      <c r="D29" t="inlineStr">
        <is>
          <t>STOCKHOLMS LÄN</t>
        </is>
      </c>
      <c r="E29" t="inlineStr">
        <is>
          <t>BOTKYRKA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46077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48647-2022</t>
        </is>
      </c>
      <c r="B31" s="1" t="n">
        <v>44859</v>
      </c>
      <c r="C31" s="1" t="n">
        <v>46077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52035-2021</t>
        </is>
      </c>
      <c r="B32" s="1" t="n">
        <v>44463</v>
      </c>
      <c r="C32" s="1" t="n">
        <v>46077</v>
      </c>
      <c r="D32" t="inlineStr">
        <is>
          <t>STOCKHOLMS LÄN</t>
        </is>
      </c>
      <c r="E32" t="inlineStr">
        <is>
          <t>BOTKYRKA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35492-2021</t>
        </is>
      </c>
      <c r="B33" s="1" t="n">
        <v>44385</v>
      </c>
      <c r="C33" s="1" t="n">
        <v>46077</v>
      </c>
      <c r="D33" t="inlineStr">
        <is>
          <t>STOCKHOLMS LÄN</t>
        </is>
      </c>
      <c r="E33" t="inlineStr">
        <is>
          <t>BOTKYRKA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30378-2024</t>
        </is>
      </c>
      <c r="B34" s="1" t="n">
        <v>45491</v>
      </c>
      <c r="C34" s="1" t="n">
        <v>46077</v>
      </c>
      <c r="D34" t="inlineStr">
        <is>
          <t>STOCKHOLMS LÄN</t>
        </is>
      </c>
      <c r="E34" t="inlineStr">
        <is>
          <t>BOTKYRKA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48656-2022</t>
        </is>
      </c>
      <c r="B35" s="1" t="n">
        <v>44859.43993055556</v>
      </c>
      <c r="C35" s="1" t="n">
        <v>46077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16149-2024</t>
        </is>
      </c>
      <c r="B36" s="1" t="n">
        <v>45406.56984953704</v>
      </c>
      <c r="C36" s="1" t="n">
        <v>46077</v>
      </c>
      <c r="D36" t="inlineStr">
        <is>
          <t>STOCKHOLMS LÄN</t>
        </is>
      </c>
      <c r="E36" t="inlineStr">
        <is>
          <t>BOTKYRKA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16145-2024</t>
        </is>
      </c>
      <c r="B37" s="1" t="n">
        <v>45406.56561342593</v>
      </c>
      <c r="C37" s="1" t="n">
        <v>46077</v>
      </c>
      <c r="D37" t="inlineStr">
        <is>
          <t>STOCKHOLMS LÄN</t>
        </is>
      </c>
      <c r="E37" t="inlineStr">
        <is>
          <t>BOTKYRKA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15905-2022</t>
        </is>
      </c>
      <c r="B38" s="1" t="n">
        <v>44664</v>
      </c>
      <c r="C38" s="1" t="n">
        <v>46077</v>
      </c>
      <c r="D38" t="inlineStr">
        <is>
          <t>STOCKHOLMS LÄN</t>
        </is>
      </c>
      <c r="E38" t="inlineStr">
        <is>
          <t>BOTKYRKA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46077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46405-2022</t>
        </is>
      </c>
      <c r="B40" s="1" t="n">
        <v>44846</v>
      </c>
      <c r="C40" s="1" t="n">
        <v>46077</v>
      </c>
      <c r="D40" t="inlineStr">
        <is>
          <t>STOCKHOLMS LÄN</t>
        </is>
      </c>
      <c r="E40" t="inlineStr">
        <is>
          <t>BOTKYRKA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21285-2023</t>
        </is>
      </c>
      <c r="B41" s="1" t="n">
        <v>45062</v>
      </c>
      <c r="C41" s="1" t="n">
        <v>46077</v>
      </c>
      <c r="D41" t="inlineStr">
        <is>
          <t>STOCKHOLMS LÄN</t>
        </is>
      </c>
      <c r="E41" t="inlineStr">
        <is>
          <t>BOTKYRKA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61514-2022</t>
        </is>
      </c>
      <c r="B42" s="1" t="n">
        <v>44916</v>
      </c>
      <c r="C42" s="1" t="n">
        <v>46077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15692-2023</t>
        </is>
      </c>
      <c r="B43" s="1" t="n">
        <v>45020</v>
      </c>
      <c r="C43" s="1" t="n">
        <v>46077</v>
      </c>
      <c r="D43" t="inlineStr">
        <is>
          <t>STOCKHOLMS LÄN</t>
        </is>
      </c>
      <c r="E43" t="inlineStr">
        <is>
          <t>BOTKYRKA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3021-2025</t>
        </is>
      </c>
      <c r="B44" s="1" t="n">
        <v>45678.57962962963</v>
      </c>
      <c r="C44" s="1" t="n">
        <v>46077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38194-2022</t>
        </is>
      </c>
      <c r="B45" s="1" t="n">
        <v>44812</v>
      </c>
      <c r="C45" s="1" t="n">
        <v>46077</v>
      </c>
      <c r="D45" t="inlineStr">
        <is>
          <t>STOCKHOLMS LÄN</t>
        </is>
      </c>
      <c r="E45" t="inlineStr">
        <is>
          <t>BOTKYRKA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36097-2021</t>
        </is>
      </c>
      <c r="B46" s="1" t="n">
        <v>44389</v>
      </c>
      <c r="C46" s="1" t="n">
        <v>46077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10815-2021</t>
        </is>
      </c>
      <c r="B47" s="1" t="n">
        <v>44259</v>
      </c>
      <c r="C47" s="1" t="n">
        <v>46077</v>
      </c>
      <c r="D47" t="inlineStr">
        <is>
          <t>STOCKHOLMS LÄN</t>
        </is>
      </c>
      <c r="E47" t="inlineStr">
        <is>
          <t>BOTKYRKA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14202-2025</t>
        </is>
      </c>
      <c r="B48" s="1" t="n">
        <v>45740.57461805556</v>
      </c>
      <c r="C48" s="1" t="n">
        <v>46077</v>
      </c>
      <c r="D48" t="inlineStr">
        <is>
          <t>STOCKHOLMS LÄN</t>
        </is>
      </c>
      <c r="E48" t="inlineStr">
        <is>
          <t>BOTKYRKA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11867-2024</t>
        </is>
      </c>
      <c r="B49" s="1" t="n">
        <v>45376.45421296296</v>
      </c>
      <c r="C49" s="1" t="n">
        <v>46077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15690-2023</t>
        </is>
      </c>
      <c r="B50" s="1" t="n">
        <v>45020</v>
      </c>
      <c r="C50" s="1" t="n">
        <v>46077</v>
      </c>
      <c r="D50" t="inlineStr">
        <is>
          <t>STOCKHOLMS LÄN</t>
        </is>
      </c>
      <c r="E50" t="inlineStr">
        <is>
          <t>BOTKYRKA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73151-2021</t>
        </is>
      </c>
      <c r="B51" s="1" t="n">
        <v>44550.5162037037</v>
      </c>
      <c r="C51" s="1" t="n">
        <v>46077</v>
      </c>
      <c r="D51" t="inlineStr">
        <is>
          <t>STOCKHOLMS LÄN</t>
        </is>
      </c>
      <c r="E51" t="inlineStr">
        <is>
          <t>BOTKYRKA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73194-2021</t>
        </is>
      </c>
      <c r="B52" s="1" t="n">
        <v>44550.61508101852</v>
      </c>
      <c r="C52" s="1" t="n">
        <v>46077</v>
      </c>
      <c r="D52" t="inlineStr">
        <is>
          <t>STOCKHOLMS LÄN</t>
        </is>
      </c>
      <c r="E52" t="inlineStr">
        <is>
          <t>BOTKYRKA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20649-2022</t>
        </is>
      </c>
      <c r="B53" s="1" t="n">
        <v>44700</v>
      </c>
      <c r="C53" s="1" t="n">
        <v>46077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28983-2024</t>
        </is>
      </c>
      <c r="B54" s="1" t="n">
        <v>45481.47731481482</v>
      </c>
      <c r="C54" s="1" t="n">
        <v>46077</v>
      </c>
      <c r="D54" t="inlineStr">
        <is>
          <t>STOCKHOLMS LÄN</t>
        </is>
      </c>
      <c r="E54" t="inlineStr">
        <is>
          <t>BOTKYRKA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46077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46077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46077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46077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73155-2021</t>
        </is>
      </c>
      <c r="B59" s="1" t="n">
        <v>44550</v>
      </c>
      <c r="C59" s="1" t="n">
        <v>46077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46077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9032-2023</t>
        </is>
      </c>
      <c r="B61" s="1" t="n">
        <v>44979</v>
      </c>
      <c r="C61" s="1" t="n">
        <v>46077</v>
      </c>
      <c r="D61" t="inlineStr">
        <is>
          <t>STOCKHOLMS LÄN</t>
        </is>
      </c>
      <c r="E61" t="inlineStr">
        <is>
          <t>BOTKYRKA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25217-2024</t>
        </is>
      </c>
      <c r="B62" s="1" t="n">
        <v>45462</v>
      </c>
      <c r="C62" s="1" t="n">
        <v>46077</v>
      </c>
      <c r="D62" t="inlineStr">
        <is>
          <t>STOCKHOLMS LÄN</t>
        </is>
      </c>
      <c r="E62" t="inlineStr">
        <is>
          <t>BOTKYRKA</t>
        </is>
      </c>
      <c r="F62" t="inlineStr">
        <is>
          <t>Övriga Aktiebolag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45945-2025</t>
        </is>
      </c>
      <c r="B63" s="1" t="n">
        <v>45924</v>
      </c>
      <c r="C63" s="1" t="n">
        <v>46077</v>
      </c>
      <c r="D63" t="inlineStr">
        <is>
          <t>STOCKHOLMS LÄN</t>
        </is>
      </c>
      <c r="E63" t="inlineStr">
        <is>
          <t>BOTKYRKA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16483-2023</t>
        </is>
      </c>
      <c r="B64" s="1" t="n">
        <v>45029</v>
      </c>
      <c r="C64" s="1" t="n">
        <v>46077</v>
      </c>
      <c r="D64" t="inlineStr">
        <is>
          <t>STOCKHOLMS LÄN</t>
        </is>
      </c>
      <c r="E64" t="inlineStr">
        <is>
          <t>BOTKYRKA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49175-2025</t>
        </is>
      </c>
      <c r="B65" s="1" t="n">
        <v>45938.3790162037</v>
      </c>
      <c r="C65" s="1" t="n">
        <v>46077</v>
      </c>
      <c r="D65" t="inlineStr">
        <is>
          <t>STOCKHOLMS LÄN</t>
        </is>
      </c>
      <c r="E65" t="inlineStr">
        <is>
          <t>BOTKYRKA</t>
        </is>
      </c>
      <c r="F65" t="inlineStr">
        <is>
          <t>Övriga Aktiebolag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46077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61320-2024</t>
        </is>
      </c>
      <c r="B67" s="1" t="n">
        <v>45646.33262731481</v>
      </c>
      <c r="C67" s="1" t="n">
        <v>46077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50474-2025</t>
        </is>
      </c>
      <c r="B68" s="1" t="n">
        <v>45945.36526620371</v>
      </c>
      <c r="C68" s="1" t="n">
        <v>46077</v>
      </c>
      <c r="D68" t="inlineStr">
        <is>
          <t>STOCKHOLMS LÄN</t>
        </is>
      </c>
      <c r="E68" t="inlineStr">
        <is>
          <t>BOTKYRKA</t>
        </is>
      </c>
      <c r="F68" t="inlineStr">
        <is>
          <t>Övriga Aktiebolag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30925-2023</t>
        </is>
      </c>
      <c r="B69" s="1" t="n">
        <v>45113</v>
      </c>
      <c r="C69" s="1" t="n">
        <v>46077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45869-2022</t>
        </is>
      </c>
      <c r="B70" s="1" t="n">
        <v>44844</v>
      </c>
      <c r="C70" s="1" t="n">
        <v>46077</v>
      </c>
      <c r="D70" t="inlineStr">
        <is>
          <t>STOCKHOLMS LÄN</t>
        </is>
      </c>
      <c r="E70" t="inlineStr">
        <is>
          <t>BOTKYRKA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14217-2025</t>
        </is>
      </c>
      <c r="B71" s="1" t="n">
        <v>45740.58534722222</v>
      </c>
      <c r="C71" s="1" t="n">
        <v>46077</v>
      </c>
      <c r="D71" t="inlineStr">
        <is>
          <t>STOCKHOLMS LÄN</t>
        </is>
      </c>
      <c r="E71" t="inlineStr">
        <is>
          <t>BOTKYRKA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54468-2025</t>
        </is>
      </c>
      <c r="B72" s="1" t="n">
        <v>45965</v>
      </c>
      <c r="C72" s="1" t="n">
        <v>46077</v>
      </c>
      <c r="D72" t="inlineStr">
        <is>
          <t>STOCKHOLMS LÄN</t>
        </is>
      </c>
      <c r="E72" t="inlineStr">
        <is>
          <t>BOTKYRKA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61242-2022</t>
        </is>
      </c>
      <c r="B73" s="1" t="n">
        <v>44915</v>
      </c>
      <c r="C73" s="1" t="n">
        <v>46077</v>
      </c>
      <c r="D73" t="inlineStr">
        <is>
          <t>STOCKHOLMS LÄN</t>
        </is>
      </c>
      <c r="E73" t="inlineStr">
        <is>
          <t>BOTKYRKA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11876-2024</t>
        </is>
      </c>
      <c r="B74" s="1" t="n">
        <v>45376.47072916666</v>
      </c>
      <c r="C74" s="1" t="n">
        <v>46077</v>
      </c>
      <c r="D74" t="inlineStr">
        <is>
          <t>STOCKHOLMS LÄN</t>
        </is>
      </c>
      <c r="E74" t="inlineStr">
        <is>
          <t>BOTKYRKA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16142-2024</t>
        </is>
      </c>
      <c r="B75" s="1" t="n">
        <v>45406</v>
      </c>
      <c r="C75" s="1" t="n">
        <v>46077</v>
      </c>
      <c r="D75" t="inlineStr">
        <is>
          <t>STOCKHOLMS LÄN</t>
        </is>
      </c>
      <c r="E75" t="inlineStr">
        <is>
          <t>BOTKYRKA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2026-02-24T11:08:53Z</dcterms:created>
  <dcterms:modified xmlns:dcterms="http://purl.org/dc/terms/" xmlns:xsi="http://www.w3.org/2001/XMLSchema-instance" xsi:type="dcterms:W3CDTF">2026-02-24T11:08:53Z</dcterms:modified>
</cp:coreProperties>
</file>