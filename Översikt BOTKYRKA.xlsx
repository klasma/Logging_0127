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46099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46099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46099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46099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46099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46099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46099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46099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46099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46099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46099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46099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46099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14214-2025</t>
        </is>
      </c>
      <c r="B19" s="1" t="n">
        <v>45740.58291666667</v>
      </c>
      <c r="C19" s="1" t="n">
        <v>46099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Stare</t>
        </is>
      </c>
      <c r="S19">
        <f>HYPERLINK("https://klasma.github.io/Logging_0127/artfynd/A 14214-2025 artfynd.xlsx", "A 14214-2025")</f>
        <v/>
      </c>
      <c r="T19">
        <f>HYPERLINK("https://klasma.github.io/Logging_0127/kartor/A 14214-2025 karta.png", "A 14214-2025")</f>
        <v/>
      </c>
      <c r="V19">
        <f>HYPERLINK("https://klasma.github.io/Logging_0127/klagomål/A 14214-2025 FSC-klagomål.docx", "A 14214-2025")</f>
        <v/>
      </c>
      <c r="W19">
        <f>HYPERLINK("https://klasma.github.io/Logging_0127/klagomålsmail/A 14214-2025 FSC-klagomål mail.docx", "A 14214-2025")</f>
        <v/>
      </c>
      <c r="X19">
        <f>HYPERLINK("https://klasma.github.io/Logging_0127/tillsyn/A 14214-2025 tillsynsbegäran.docx", "A 14214-2025")</f>
        <v/>
      </c>
      <c r="Y19">
        <f>HYPERLINK("https://klasma.github.io/Logging_0127/tillsynsmail/A 14214-2025 tillsynsbegäran mail.docx", "A 14214-2025")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46099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33801-2025</t>
        </is>
      </c>
      <c r="B21" s="1" t="n">
        <v>45842</v>
      </c>
      <c r="C21" s="1" t="n">
        <v>46099</v>
      </c>
      <c r="D21" t="inlineStr">
        <is>
          <t>STOCKHOLMS LÄN</t>
        </is>
      </c>
      <c r="E21" t="inlineStr">
        <is>
          <t>BOTKYRKA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HYPERLINK("https://klasma.github.io/Logging_0127/artfynd/A 33801-2025 artfynd.xlsx", "A 33801-2025")</f>
        <v/>
      </c>
      <c r="T21">
        <f>HYPERLINK("https://klasma.github.io/Logging_0127/kartor/A 33801-2025 karta.png", "A 33801-2025")</f>
        <v/>
      </c>
      <c r="V21">
        <f>HYPERLINK("https://klasma.github.io/Logging_0127/klagomål/A 33801-2025 FSC-klagomål.docx", "A 33801-2025")</f>
        <v/>
      </c>
      <c r="W21">
        <f>HYPERLINK("https://klasma.github.io/Logging_0127/klagomålsmail/A 33801-2025 FSC-klagomål mail.docx", "A 33801-2025")</f>
        <v/>
      </c>
      <c r="X21">
        <f>HYPERLINK("https://klasma.github.io/Logging_0127/tillsyn/A 33801-2025 tillsynsbegäran.docx", "A 33801-2025")</f>
        <v/>
      </c>
      <c r="Y21">
        <f>HYPERLINK("https://klasma.github.io/Logging_0127/tillsynsmail/A 33801-2025 tillsynsbegäran mail.docx", "A 33801-2025")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46099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46099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46099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46099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46099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46099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46099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46099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46099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46099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46099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46099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61514-2022</t>
        </is>
      </c>
      <c r="B34" s="1" t="n">
        <v>44916</v>
      </c>
      <c r="C34" s="1" t="n">
        <v>46099</v>
      </c>
      <c r="D34" t="inlineStr">
        <is>
          <t>STOCKHOLMS LÄN</t>
        </is>
      </c>
      <c r="E34" t="inlineStr">
        <is>
          <t>BOTKYRKA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46099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46099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15692-2023</t>
        </is>
      </c>
      <c r="B37" s="1" t="n">
        <v>45020</v>
      </c>
      <c r="C37" s="1" t="n">
        <v>46099</v>
      </c>
      <c r="D37" t="inlineStr">
        <is>
          <t>STOCKHOLMS LÄN</t>
        </is>
      </c>
      <c r="E37" t="inlineStr">
        <is>
          <t>BOTKYRKA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25217-2024</t>
        </is>
      </c>
      <c r="B38" s="1" t="n">
        <v>45462</v>
      </c>
      <c r="C38" s="1" t="n">
        <v>46099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46099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46099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16483-2023</t>
        </is>
      </c>
      <c r="B41" s="1" t="n">
        <v>45029</v>
      </c>
      <c r="C41" s="1" t="n">
        <v>46099</v>
      </c>
      <c r="D41" t="inlineStr">
        <is>
          <t>STOCKHOLMS LÄN</t>
        </is>
      </c>
      <c r="E41" t="inlineStr">
        <is>
          <t>BOTKYRKA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30622-2024</t>
        </is>
      </c>
      <c r="B42" s="1" t="n">
        <v>45495</v>
      </c>
      <c r="C42" s="1" t="n">
        <v>46099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46099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46099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46099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48656-2022</t>
        </is>
      </c>
      <c r="B46" s="1" t="n">
        <v>44859.43993055556</v>
      </c>
      <c r="C46" s="1" t="n">
        <v>46099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46099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16149-2024</t>
        </is>
      </c>
      <c r="B48" s="1" t="n">
        <v>45406.56984953704</v>
      </c>
      <c r="C48" s="1" t="n">
        <v>46099</v>
      </c>
      <c r="D48" t="inlineStr">
        <is>
          <t>STOCKHOLMS LÄN</t>
        </is>
      </c>
      <c r="E48" t="inlineStr">
        <is>
          <t>BOTKYRKA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16145-2024</t>
        </is>
      </c>
      <c r="B49" s="1" t="n">
        <v>45406.56561342593</v>
      </c>
      <c r="C49" s="1" t="n">
        <v>46099</v>
      </c>
      <c r="D49" t="inlineStr">
        <is>
          <t>STOCKHOLMS LÄN</t>
        </is>
      </c>
      <c r="E49" t="inlineStr">
        <is>
          <t>BOTKYRKA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14217-2025</t>
        </is>
      </c>
      <c r="B50" s="1" t="n">
        <v>45740.58534722222</v>
      </c>
      <c r="C50" s="1" t="n">
        <v>46099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46099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46099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46099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46099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46099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46099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46099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46099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61242-2022</t>
        </is>
      </c>
      <c r="B59" s="1" t="n">
        <v>44915</v>
      </c>
      <c r="C59" s="1" t="n">
        <v>46099</v>
      </c>
      <c r="D59" t="inlineStr">
        <is>
          <t>STOCKHOLMS LÄN</t>
        </is>
      </c>
      <c r="E59" t="inlineStr">
        <is>
          <t>BOTKYRKA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44586.57239583333</v>
      </c>
      <c r="C60" s="1" t="n">
        <v>46099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35197-2024</t>
        </is>
      </c>
      <c r="B61" s="1" t="n">
        <v>45530</v>
      </c>
      <c r="C61" s="1" t="n">
        <v>46099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46099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46099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46099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16142-2024</t>
        </is>
      </c>
      <c r="B65" s="1" t="n">
        <v>45406</v>
      </c>
      <c r="C65" s="1" t="n">
        <v>46099</v>
      </c>
      <c r="D65" t="inlineStr">
        <is>
          <t>STOCKHOLMS LÄN</t>
        </is>
      </c>
      <c r="E65" t="inlineStr">
        <is>
          <t>BOTKYRKA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46099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73151-2021</t>
        </is>
      </c>
      <c r="B67" s="1" t="n">
        <v>44550.5162037037</v>
      </c>
      <c r="C67" s="1" t="n">
        <v>46099</v>
      </c>
      <c r="D67" t="inlineStr">
        <is>
          <t>STOCKHOLMS LÄN</t>
        </is>
      </c>
      <c r="E67" t="inlineStr">
        <is>
          <t>BOTKYRKA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73194-2021</t>
        </is>
      </c>
      <c r="B68" s="1" t="n">
        <v>44550.61508101852</v>
      </c>
      <c r="C68" s="1" t="n">
        <v>46099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46099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73155-2021</t>
        </is>
      </c>
      <c r="B70" s="1" t="n">
        <v>44550</v>
      </c>
      <c r="C70" s="1" t="n">
        <v>46099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45945-2025</t>
        </is>
      </c>
      <c r="B71" s="1" t="n">
        <v>45924</v>
      </c>
      <c r="C71" s="1" t="n">
        <v>46099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30378-2024</t>
        </is>
      </c>
      <c r="B72" s="1" t="n">
        <v>45491</v>
      </c>
      <c r="C72" s="1" t="n">
        <v>46099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46099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49175-2025</t>
        </is>
      </c>
      <c r="B74" s="1" t="n">
        <v>45938.3790162037</v>
      </c>
      <c r="C74" s="1" t="n">
        <v>46099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50474-2025</t>
        </is>
      </c>
      <c r="B75" s="1" t="n">
        <v>45945.36526620371</v>
      </c>
      <c r="C75" s="1" t="n">
        <v>46099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54468-2025</t>
        </is>
      </c>
      <c r="B76" s="1" t="n">
        <v>45965</v>
      </c>
      <c r="C76" s="1" t="n">
        <v>46099</v>
      </c>
      <c r="D76" t="inlineStr">
        <is>
          <t>STOCKHOLMS LÄN</t>
        </is>
      </c>
      <c r="E76" t="inlineStr">
        <is>
          <t>BOTKYRKA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12305-2026</t>
        </is>
      </c>
      <c r="B77" s="1" t="n">
        <v>46087.57827546296</v>
      </c>
      <c r="C77" s="1" t="n">
        <v>46099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12306-2026</t>
        </is>
      </c>
      <c r="B78" s="1" t="n">
        <v>46087.57949074074</v>
      </c>
      <c r="C78" s="1" t="n">
        <v>46099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12294-2026</t>
        </is>
      </c>
      <c r="B79" s="1" t="n">
        <v>46087.55737268519</v>
      </c>
      <c r="C79" s="1" t="n">
        <v>46099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2026-03-18T11:29:02Z</dcterms:created>
  <dcterms:modified xmlns:dcterms="http://purl.org/dc/terms/" xmlns:xsi="http://www.w3.org/2001/XMLSchema-instance" xsi:type="dcterms:W3CDTF">2026-03-18T11:29:02Z</dcterms:modified>
</cp:coreProperties>
</file>