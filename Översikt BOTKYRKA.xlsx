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46189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46189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46189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25306-2026</t>
        </is>
      </c>
      <c r="B9" s="1" t="n">
        <v>46176.47320601852</v>
      </c>
      <c r="C9" s="1" t="n">
        <v>46189</v>
      </c>
      <c r="D9" t="inlineStr">
        <is>
          <t>STOCKHOLMS LÄN</t>
        </is>
      </c>
      <c r="E9" t="inlineStr">
        <is>
          <t>BOTKYRKA</t>
        </is>
      </c>
      <c r="G9" t="n">
        <v>3.2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Gulsparv
Spillkråka
Tallticka
Blåmossa
Gröngöling</t>
        </is>
      </c>
      <c r="S9">
        <f>HYPERLINK("https://klasma.github.io/Logging_0127/artfynd/A 25306-2026 artfynd.xlsx", "A 25306-2026")</f>
        <v/>
      </c>
      <c r="T9">
        <f>HYPERLINK("https://klasma.github.io/Logging_0127/kartor/A 25306-2026 karta.png", "A 25306-2026")</f>
        <v/>
      </c>
      <c r="V9">
        <f>HYPERLINK("https://klasma.github.io/Logging_0127/klagomål/A 25306-2026 FSC-klagomål.docx", "A 25306-2026")</f>
        <v/>
      </c>
      <c r="W9">
        <f>HYPERLINK("https://klasma.github.io/Logging_0127/klagomålsmail/A 25306-2026 FSC-klagomål mail.docx", "A 25306-2026")</f>
        <v/>
      </c>
      <c r="X9">
        <f>HYPERLINK("https://klasma.github.io/Logging_0127/tillsyn/A 25306-2026 tillsynsbegäran.docx", "A 25306-2026")</f>
        <v/>
      </c>
      <c r="Y9">
        <f>HYPERLINK("https://klasma.github.io/Logging_0127/tillsynsmail/A 25306-2026 tillsynsbegäran mail.docx", "A 25306-2026")</f>
        <v/>
      </c>
      <c r="Z9">
        <f>HYPERLINK("https://klasma.github.io/Logging_0127/fåglar/A 25306-2026 prioriterade fågelarter.docx", "A 25306-2026")</f>
        <v/>
      </c>
    </row>
    <row r="10" ht="15" customHeight="1">
      <c r="A10" t="inlineStr">
        <is>
          <t>A 12818-2026</t>
        </is>
      </c>
      <c r="B10" s="1" t="n">
        <v>46092.40828703704</v>
      </c>
      <c r="C10" s="1" t="n">
        <v>46189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0.9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Blåmossa
Grovticka</t>
        </is>
      </c>
      <c r="S10">
        <f>HYPERLINK("https://klasma.github.io/Logging_0127/artfynd/A 12818-2026 artfynd.xlsx", "A 12818-2026")</f>
        <v/>
      </c>
      <c r="T10">
        <f>HYPERLINK("https://klasma.github.io/Logging_0127/kartor/A 12818-2026 karta.png", "A 12818-2026")</f>
        <v/>
      </c>
      <c r="V10">
        <f>HYPERLINK("https://klasma.github.io/Logging_0127/klagomål/A 12818-2026 FSC-klagomål.docx", "A 12818-2026")</f>
        <v/>
      </c>
      <c r="W10">
        <f>HYPERLINK("https://klasma.github.io/Logging_0127/klagomålsmail/A 12818-2026 FSC-klagomål mail.docx", "A 12818-2026")</f>
        <v/>
      </c>
      <c r="X10">
        <f>HYPERLINK("https://klasma.github.io/Logging_0127/tillsyn/A 12818-2026 tillsynsbegäran.docx", "A 12818-2026")</f>
        <v/>
      </c>
      <c r="Y10">
        <f>HYPERLINK("https://klasma.github.io/Logging_0127/tillsynsmail/A 12818-2026 tillsynsbegäran mail.docx", "A 12818-2026")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46189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46189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46189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46189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24799-2026</t>
        </is>
      </c>
      <c r="B15" s="1" t="n">
        <v>46171.85594907407</v>
      </c>
      <c r="C15" s="1" t="n">
        <v>46189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Mindre märgborre</t>
        </is>
      </c>
      <c r="S15">
        <f>HYPERLINK("https://klasma.github.io/Logging_0127/artfynd/A 24799-2026 artfynd.xlsx", "A 24799-2026")</f>
        <v/>
      </c>
      <c r="T15">
        <f>HYPERLINK("https://klasma.github.io/Logging_0127/kartor/A 24799-2026 karta.png", "A 24799-2026")</f>
        <v/>
      </c>
      <c r="V15">
        <f>HYPERLINK("https://klasma.github.io/Logging_0127/klagomål/A 24799-2026 FSC-klagomål.docx", "A 24799-2026")</f>
        <v/>
      </c>
      <c r="W15">
        <f>HYPERLINK("https://klasma.github.io/Logging_0127/klagomålsmail/A 24799-2026 FSC-klagomål mail.docx", "A 24799-2026")</f>
        <v/>
      </c>
      <c r="X15">
        <f>HYPERLINK("https://klasma.github.io/Logging_0127/tillsyn/A 24799-2026 tillsynsbegäran.docx", "A 24799-2026")</f>
        <v/>
      </c>
      <c r="Y15">
        <f>HYPERLINK("https://klasma.github.io/Logging_0127/tillsynsmail/A 24799-2026 tillsynsbegäran mail.docx", "A 24799-2026")</f>
        <v/>
      </c>
      <c r="Z15">
        <f>HYPERLINK("https://klasma.github.io/Logging_0127/fåglar/A 24799-2026 prioriterade fågelarter.docx", "A 24799-2026")</f>
        <v/>
      </c>
    </row>
    <row r="16" ht="15" customHeight="1">
      <c r="A16" t="inlineStr">
        <is>
          <t>A 25319-2026</t>
        </is>
      </c>
      <c r="B16" s="1" t="n">
        <v>46176.49130787037</v>
      </c>
      <c r="C16" s="1" t="n">
        <v>46189</v>
      </c>
      <c r="D16" t="inlineStr">
        <is>
          <t>STOCKHOLMS LÄN</t>
        </is>
      </c>
      <c r="E16" t="inlineStr">
        <is>
          <t>BOTKYRKA</t>
        </is>
      </c>
      <c r="G16" t="n">
        <v>1.6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Grovticka</t>
        </is>
      </c>
      <c r="S16">
        <f>HYPERLINK("https://klasma.github.io/Logging_0127/artfynd/A 25319-2026 artfynd.xlsx", "A 25319-2026")</f>
        <v/>
      </c>
      <c r="T16">
        <f>HYPERLINK("https://klasma.github.io/Logging_0127/kartor/A 25319-2026 karta.png", "A 25319-2026")</f>
        <v/>
      </c>
      <c r="V16">
        <f>HYPERLINK("https://klasma.github.io/Logging_0127/klagomål/A 25319-2026 FSC-klagomål.docx", "A 25319-2026")</f>
        <v/>
      </c>
      <c r="W16">
        <f>HYPERLINK("https://klasma.github.io/Logging_0127/klagomålsmail/A 25319-2026 FSC-klagomål mail.docx", "A 25319-2026")</f>
        <v/>
      </c>
      <c r="X16">
        <f>HYPERLINK("https://klasma.github.io/Logging_0127/tillsyn/A 25319-2026 tillsynsbegäran.docx", "A 25319-2026")</f>
        <v/>
      </c>
      <c r="Y16">
        <f>HYPERLINK("https://klasma.github.io/Logging_0127/tillsynsmail/A 25319-2026 tillsynsbegäran mail.docx", "A 25319-2026")</f>
        <v/>
      </c>
      <c r="Z16">
        <f>HYPERLINK("https://klasma.github.io/Logging_0127/fåglar/A 25319-2026 prioriterade fågelarter.docx", "A 25319-2026")</f>
        <v/>
      </c>
    </row>
    <row r="17" ht="15" customHeight="1">
      <c r="A17" t="inlineStr">
        <is>
          <t>A 56816-2021</t>
        </is>
      </c>
      <c r="B17" s="1" t="n">
        <v>44481</v>
      </c>
      <c r="C17" s="1" t="n">
        <v>46189</v>
      </c>
      <c r="D17" t="inlineStr">
        <is>
          <t>STOCKHOLMS LÄN</t>
        </is>
      </c>
      <c r="E17" t="inlineStr">
        <is>
          <t>BOTKYRKA</t>
        </is>
      </c>
      <c r="G17" t="n">
        <v>10.9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HYPERLINK("https://klasma.github.io/Logging_0127/artfynd/A 56816-2021 artfynd.xlsx", "A 56816-2021")</f>
        <v/>
      </c>
      <c r="T17">
        <f>HYPERLINK("https://klasma.github.io/Logging_0127/kartor/A 56816-2021 karta.png", "A 56816-2021")</f>
        <v/>
      </c>
      <c r="V17">
        <f>HYPERLINK("https://klasma.github.io/Logging_0127/klagomål/A 56816-2021 FSC-klagomål.docx", "A 56816-2021")</f>
        <v/>
      </c>
      <c r="W17">
        <f>HYPERLINK("https://klasma.github.io/Logging_0127/klagomålsmail/A 56816-2021 FSC-klagomål mail.docx", "A 56816-2021")</f>
        <v/>
      </c>
      <c r="X17">
        <f>HYPERLINK("https://klasma.github.io/Logging_0127/tillsyn/A 56816-2021 tillsynsbegäran.docx", "A 56816-2021")</f>
        <v/>
      </c>
      <c r="Y17">
        <f>HYPERLINK("https://klasma.github.io/Logging_0127/tillsynsmail/A 56816-2021 tillsynsbegäran mail.docx", "A 56816-2021")</f>
        <v/>
      </c>
      <c r="Z17">
        <f>HYPERLINK("https://klasma.github.io/Logging_0127/fåglar/A 56816-2021 prioriterade fågelarter.docx", "A 56816-2021")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46189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46189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46189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46189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46189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46189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s="1" t="n">
        <v>46090.73949074074</v>
      </c>
      <c r="C24" s="1" t="n">
        <v>46189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HYPERLINK("https://klasma.github.io/Logging_0127/artfynd/A 12590-2026 artfynd.xlsx", "A 12590-2026")</f>
        <v/>
      </c>
      <c r="T24">
        <f>HYPERLINK("https://klasma.github.io/Logging_0127/kartor/A 12590-2026 karta.png", "A 12590-2026")</f>
        <v/>
      </c>
      <c r="V24">
        <f>HYPERLINK("https://klasma.github.io/Logging_0127/klagomål/A 12590-2026 FSC-klagomål.docx", "A 12590-2026")</f>
        <v/>
      </c>
      <c r="W24">
        <f>HYPERLINK("https://klasma.github.io/Logging_0127/klagomålsmail/A 12590-2026 FSC-klagomål mail.docx", "A 12590-2026")</f>
        <v/>
      </c>
      <c r="X24">
        <f>HYPERLINK("https://klasma.github.io/Logging_0127/tillsyn/A 12590-2026 tillsynsbegäran.docx", "A 12590-2026")</f>
        <v/>
      </c>
      <c r="Y24">
        <f>HYPERLINK("https://klasma.github.io/Logging_0127/tillsynsmail/A 12590-2026 tillsynsbegäran mail.docx", "A 12590-2026")</f>
        <v/>
      </c>
      <c r="Z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s="1" t="n">
        <v>46092.44197916667</v>
      </c>
      <c r="C25" s="1" t="n">
        <v>46189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HYPERLINK("https://klasma.github.io/Logging_0127/artfynd/A 12842-2026 artfynd.xlsx", "A 12842-2026")</f>
        <v/>
      </c>
      <c r="T25">
        <f>HYPERLINK("https://klasma.github.io/Logging_0127/kartor/A 12842-2026 karta.png", "A 12842-2026")</f>
        <v/>
      </c>
      <c r="V25">
        <f>HYPERLINK("https://klasma.github.io/Logging_0127/klagomål/A 12842-2026 FSC-klagomål.docx", "A 12842-2026")</f>
        <v/>
      </c>
      <c r="W25">
        <f>HYPERLINK("https://klasma.github.io/Logging_0127/klagomålsmail/A 12842-2026 FSC-klagomål mail.docx", "A 12842-2026")</f>
        <v/>
      </c>
      <c r="X25">
        <f>HYPERLINK("https://klasma.github.io/Logging_0127/tillsyn/A 12842-2026 tillsynsbegäran.docx", "A 12842-2026")</f>
        <v/>
      </c>
      <c r="Y25">
        <f>HYPERLINK("https://klasma.github.io/Logging_0127/tillsynsmail/A 12842-2026 tillsynsbegäran mail.docx", "A 12842-2026")</f>
        <v/>
      </c>
    </row>
    <row r="26" ht="15" customHeight="1">
      <c r="A26" t="inlineStr">
        <is>
          <t>A 33801-2025</t>
        </is>
      </c>
      <c r="B26" s="1" t="n">
        <v>45842</v>
      </c>
      <c r="C26" s="1" t="n">
        <v>46189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HYPERLINK("https://klasma.github.io/Logging_0127/artfynd/A 33801-2025 artfynd.xlsx", "A 33801-2025")</f>
        <v/>
      </c>
      <c r="T26">
        <f>HYPERLINK("https://klasma.github.io/Logging_0127/kartor/A 33801-2025 karta.png", "A 33801-2025")</f>
        <v/>
      </c>
      <c r="V26">
        <f>HYPERLINK("https://klasma.github.io/Logging_0127/klagomål/A 33801-2025 FSC-klagomål.docx", "A 33801-2025")</f>
        <v/>
      </c>
      <c r="W26">
        <f>HYPERLINK("https://klasma.github.io/Logging_0127/klagomålsmail/A 33801-2025 FSC-klagomål mail.docx", "A 33801-2025")</f>
        <v/>
      </c>
      <c r="X26">
        <f>HYPERLINK("https://klasma.github.io/Logging_0127/tillsyn/A 33801-2025 tillsynsbegäran.docx", "A 33801-2025")</f>
        <v/>
      </c>
      <c r="Y26">
        <f>HYPERLINK("https://klasma.github.io/Logging_0127/tillsynsmail/A 33801-2025 tillsynsbegäran mail.docx", "A 33801-2025")</f>
        <v/>
      </c>
    </row>
    <row r="27" ht="15" customHeight="1">
      <c r="A27" t="inlineStr">
        <is>
          <t>A 3681-2022</t>
        </is>
      </c>
      <c r="B27" s="1" t="n">
        <v>44586</v>
      </c>
      <c r="C27" s="1" t="n">
        <v>46189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46189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46189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46189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46189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46189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46189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46189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46189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46189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46189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46189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46189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46189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46189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46189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46189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46189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46189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46189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46189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46189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36097-2021</t>
        </is>
      </c>
      <c r="B49" s="1" t="n">
        <v>44389</v>
      </c>
      <c r="C49" s="1" t="n">
        <v>46189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46189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46189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73151-2021</t>
        </is>
      </c>
      <c r="B52" s="1" t="n">
        <v>44550.5162037037</v>
      </c>
      <c r="C52" s="1" t="n">
        <v>46189</v>
      </c>
      <c r="D52" t="inlineStr">
        <is>
          <t>STOCKHOLMS LÄN</t>
        </is>
      </c>
      <c r="E52" t="inlineStr">
        <is>
          <t>BOTKYRKA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73194-2021</t>
        </is>
      </c>
      <c r="B53" s="1" t="n">
        <v>44550.61508101852</v>
      </c>
      <c r="C53" s="1" t="n">
        <v>46189</v>
      </c>
      <c r="D53" t="inlineStr">
        <is>
          <t>STOCKHOLMS LÄN</t>
        </is>
      </c>
      <c r="E53" t="inlineStr">
        <is>
          <t>BOTKYRKA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46189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15690-2023</t>
        </is>
      </c>
      <c r="B55" s="1" t="n">
        <v>45020</v>
      </c>
      <c r="C55" s="1" t="n">
        <v>46189</v>
      </c>
      <c r="D55" t="inlineStr">
        <is>
          <t>STOCKHOLMS LÄN</t>
        </is>
      </c>
      <c r="E55" t="inlineStr">
        <is>
          <t>BOTKYRKA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46189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46189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6059-2022</t>
        </is>
      </c>
      <c r="B58" s="1" t="n">
        <v>44599</v>
      </c>
      <c r="C58" s="1" t="n">
        <v>46189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61225-2022</t>
        </is>
      </c>
      <c r="B59" s="1" t="n">
        <v>44915</v>
      </c>
      <c r="C59" s="1" t="n">
        <v>46189</v>
      </c>
      <c r="D59" t="inlineStr">
        <is>
          <t>STOCKHOLMS LÄN</t>
        </is>
      </c>
      <c r="E59" t="inlineStr">
        <is>
          <t>BOTKYRKA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8528-2024</t>
        </is>
      </c>
      <c r="B60" s="1" t="n">
        <v>45355.49099537037</v>
      </c>
      <c r="C60" s="1" t="n">
        <v>46189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46189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35197-2024</t>
        </is>
      </c>
      <c r="B62" s="1" t="n">
        <v>45530</v>
      </c>
      <c r="C62" s="1" t="n">
        <v>46189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46189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46189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16483-2023</t>
        </is>
      </c>
      <c r="B65" s="1" t="n">
        <v>45029</v>
      </c>
      <c r="C65" s="1" t="n">
        <v>46189</v>
      </c>
      <c r="D65" t="inlineStr">
        <is>
          <t>STOCKHOLMS LÄN</t>
        </is>
      </c>
      <c r="E65" t="inlineStr">
        <is>
          <t>BOTKYRKA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12306-2026</t>
        </is>
      </c>
      <c r="B66" s="1" t="n">
        <v>46087.57949074074</v>
      </c>
      <c r="C66" s="1" t="n">
        <v>46189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12294-2026</t>
        </is>
      </c>
      <c r="B67" s="1" t="n">
        <v>46087.55737268519</v>
      </c>
      <c r="C67" s="1" t="n">
        <v>46189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46189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30925-2023</t>
        </is>
      </c>
      <c r="B69" s="1" t="n">
        <v>45113</v>
      </c>
      <c r="C69" s="1" t="n">
        <v>46189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45869-2022</t>
        </is>
      </c>
      <c r="B70" s="1" t="n">
        <v>44844</v>
      </c>
      <c r="C70" s="1" t="n">
        <v>46189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22391-2026</t>
        </is>
      </c>
      <c r="B71" s="1" t="n">
        <v>46154.64201388889</v>
      </c>
      <c r="C71" s="1" t="n">
        <v>46189</v>
      </c>
      <c r="D71" t="inlineStr">
        <is>
          <t>STOCKHOLMS LÄN</t>
        </is>
      </c>
      <c r="E71" t="inlineStr">
        <is>
          <t>BOTKYRKA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46189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23716-2026</t>
        </is>
      </c>
      <c r="B73" s="1" t="n">
        <v>46164.46613425926</v>
      </c>
      <c r="C73" s="1" t="n">
        <v>46189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23718-2026</t>
        </is>
      </c>
      <c r="B74" s="1" t="n">
        <v>46164.46760416667</v>
      </c>
      <c r="C74" s="1" t="n">
        <v>46189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23725-2026</t>
        </is>
      </c>
      <c r="B75" s="1" t="n">
        <v>46164.46996527778</v>
      </c>
      <c r="C75" s="1" t="n">
        <v>46189</v>
      </c>
      <c r="D75" t="inlineStr">
        <is>
          <t>STOCKHOLMS LÄN</t>
        </is>
      </c>
      <c r="E75" t="inlineStr">
        <is>
          <t>BOTKYRKA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61242-2022</t>
        </is>
      </c>
      <c r="B76" s="1" t="n">
        <v>44915</v>
      </c>
      <c r="C76" s="1" t="n">
        <v>46189</v>
      </c>
      <c r="D76" t="inlineStr">
        <is>
          <t>STOCKHOLMS LÄN</t>
        </is>
      </c>
      <c r="E76" t="inlineStr">
        <is>
          <t>BOTKYRKA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11876-2024</t>
        </is>
      </c>
      <c r="B77" s="1" t="n">
        <v>45376.47072916666</v>
      </c>
      <c r="C77" s="1" t="n">
        <v>46189</v>
      </c>
      <c r="D77" t="inlineStr">
        <is>
          <t>STOCKHOLMS LÄN</t>
        </is>
      </c>
      <c r="E77" t="inlineStr">
        <is>
          <t>BOTKYRKA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46189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25315-2026</t>
        </is>
      </c>
      <c r="B79" s="1" t="n">
        <v>46176.48607638889</v>
      </c>
      <c r="C79" s="1" t="n">
        <v>46189</v>
      </c>
      <c r="D79" t="inlineStr">
        <is>
          <t>STOCKHOLMS LÄN</t>
        </is>
      </c>
      <c r="E79" t="inlineStr">
        <is>
          <t>BOTKYRKA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2026-06-16T12:55:13Z</dcterms:created>
  <dcterms:modified xmlns:dcterms="http://purl.org/dc/terms/" xmlns:xsi="http://www.w3.org/2001/XMLSchema-instance" xsi:type="dcterms:W3CDTF">2026-06-16T12:55:14Z</dcterms:modified>
</cp:coreProperties>
</file>