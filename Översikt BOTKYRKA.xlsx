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46183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46183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46183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46183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46183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60416-2025</t>
        </is>
      </c>
      <c r="B7" s="1" t="n">
        <v>45995.45151620371</v>
      </c>
      <c r="C7" s="1" t="n">
        <v>46183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1.9</v>
      </c>
      <c r="H7" t="n">
        <v>4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Entita
Grön aspvedbock
Spillkråka
Tallticka
Talltita
Gröngöling</t>
        </is>
      </c>
      <c r="S7">
        <f>HYPERLINK("https://klasma.github.io/Logging_0127/artfynd/A 60416-2025 artfynd.xlsx", "A 60416-2025")</f>
        <v/>
      </c>
      <c r="T7">
        <f>HYPERLINK("https://klasma.github.io/Logging_0127/kartor/A 60416-2025 karta.png", "A 60416-2025")</f>
        <v/>
      </c>
      <c r="V7">
        <f>HYPERLINK("https://klasma.github.io/Logging_0127/klagomål/A 60416-2025 FSC-klagomål.docx", "A 60416-2025")</f>
        <v/>
      </c>
      <c r="W7">
        <f>HYPERLINK("https://klasma.github.io/Logging_0127/klagomålsmail/A 60416-2025 FSC-klagomål mail.docx", "A 60416-2025")</f>
        <v/>
      </c>
      <c r="X7">
        <f>HYPERLINK("https://klasma.github.io/Logging_0127/tillsyn/A 60416-2025 tillsynsbegäran.docx", "A 60416-2025")</f>
        <v/>
      </c>
      <c r="Y7">
        <f>HYPERLINK("https://klasma.github.io/Logging_0127/tillsynsmail/A 60416-2025 tillsynsbegäran mail.docx", "A 60416-2025")</f>
        <v/>
      </c>
      <c r="Z7">
        <f>HYPERLINK("https://klasma.github.io/Logging_0127/fåglar/A 60416-2025 prioriterade fågelarter.docx", "A 60416-2025")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46183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46183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46183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46183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46183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46183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46183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46183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46183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46183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46183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46183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14214-2025</t>
        </is>
      </c>
      <c r="B20" s="1" t="n">
        <v>45740.58291666667</v>
      </c>
      <c r="C20" s="1" t="n">
        <v>46183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Stare</t>
        </is>
      </c>
      <c r="S20">
        <f>HYPERLINK("https://klasma.github.io/Logging_0127/artfynd/A 14214-2025 artfynd.xlsx", "A 14214-2025")</f>
        <v/>
      </c>
      <c r="T20">
        <f>HYPERLINK("https://klasma.github.io/Logging_0127/kartor/A 14214-2025 karta.png", "A 14214-2025")</f>
        <v/>
      </c>
      <c r="V20">
        <f>HYPERLINK("https://klasma.github.io/Logging_0127/klagomål/A 14214-2025 FSC-klagomål.docx", "A 14214-2025")</f>
        <v/>
      </c>
      <c r="W20">
        <f>HYPERLINK("https://klasma.github.io/Logging_0127/klagomålsmail/A 14214-2025 FSC-klagomål mail.docx", "A 14214-2025")</f>
        <v/>
      </c>
      <c r="X20">
        <f>HYPERLINK("https://klasma.github.io/Logging_0127/tillsyn/A 14214-2025 tillsynsbegäran.docx", "A 14214-2025")</f>
        <v/>
      </c>
      <c r="Y20">
        <f>HYPERLINK("https://klasma.github.io/Logging_0127/tillsynsmail/A 14214-2025 tillsynsbegäran mail.docx", "A 14214-2025")</f>
        <v/>
      </c>
    </row>
    <row r="21" ht="15" customHeight="1">
      <c r="A21" t="inlineStr">
        <is>
          <t>A 12305-2026</t>
        </is>
      </c>
      <c r="B21" s="1" t="n">
        <v>46087.57827546296</v>
      </c>
      <c r="C21" s="1" t="n">
        <v>46183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HYPERLINK("https://klasma.github.io/Logging_0127/artfynd/A 12305-2026 artfynd.xlsx", "A 12305-2026")</f>
        <v/>
      </c>
      <c r="T21">
        <f>HYPERLINK("https://klasma.github.io/Logging_0127/kartor/A 12305-2026 karta.png", "A 12305-2026")</f>
        <v/>
      </c>
      <c r="V21">
        <f>HYPERLINK("https://klasma.github.io/Logging_0127/klagomål/A 12305-2026 FSC-klagomål.docx", "A 12305-2026")</f>
        <v/>
      </c>
      <c r="W21">
        <f>HYPERLINK("https://klasma.github.io/Logging_0127/klagomålsmail/A 12305-2026 FSC-klagomål mail.docx", "A 12305-2026")</f>
        <v/>
      </c>
      <c r="X21">
        <f>HYPERLINK("https://klasma.github.io/Logging_0127/tillsyn/A 12305-2026 tillsynsbegäran.docx", "A 12305-2026")</f>
        <v/>
      </c>
      <c r="Y21">
        <f>HYPERLINK("https://klasma.github.io/Logging_0127/tillsynsmail/A 12305-2026 tillsynsbegäran mail.docx", "A 12305-2026")</f>
        <v/>
      </c>
      <c r="Z21">
        <f>HYPERLINK("https://klasma.github.io/Logging_0127/fåglar/A 12305-2026 prioriterade fågelarter.docx", "A 12305-2026")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46183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46183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3681-2022</t>
        </is>
      </c>
      <c r="B24" s="1" t="n">
        <v>44586</v>
      </c>
      <c r="C24" s="1" t="n">
        <v>46183</v>
      </c>
      <c r="D24" t="inlineStr">
        <is>
          <t>STOCKHOLMS LÄN</t>
        </is>
      </c>
      <c r="E24" t="inlineStr">
        <is>
          <t>BOTKYRKA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48667-2022</t>
        </is>
      </c>
      <c r="B25" s="1" t="n">
        <v>44859</v>
      </c>
      <c r="C25" s="1" t="n">
        <v>46183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46183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46183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46183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48647-2022</t>
        </is>
      </c>
      <c r="B29" s="1" t="n">
        <v>44859</v>
      </c>
      <c r="C29" s="1" t="n">
        <v>46183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46183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46183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52035-2021</t>
        </is>
      </c>
      <c r="B32" s="1" t="n">
        <v>44463</v>
      </c>
      <c r="C32" s="1" t="n">
        <v>46183</v>
      </c>
      <c r="D32" t="inlineStr">
        <is>
          <t>STOCKHOLMS LÄN</t>
        </is>
      </c>
      <c r="E32" t="inlineStr">
        <is>
          <t>BOTKYRKA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46183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73151-2021</t>
        </is>
      </c>
      <c r="B34" s="1" t="n">
        <v>44550.5162037037</v>
      </c>
      <c r="C34" s="1" t="n">
        <v>46183</v>
      </c>
      <c r="D34" t="inlineStr">
        <is>
          <t>STOCKHOLMS LÄN</t>
        </is>
      </c>
      <c r="E34" t="inlineStr">
        <is>
          <t>BOTKYRKA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73194-2021</t>
        </is>
      </c>
      <c r="B35" s="1" t="n">
        <v>44550.61508101852</v>
      </c>
      <c r="C35" s="1" t="n">
        <v>46183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46183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46183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46183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11876-2024</t>
        </is>
      </c>
      <c r="B39" s="1" t="n">
        <v>45376.47072916666</v>
      </c>
      <c r="C39" s="1" t="n">
        <v>46183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46183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46183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15690-2023</t>
        </is>
      </c>
      <c r="B42" s="1" t="n">
        <v>45020</v>
      </c>
      <c r="C42" s="1" t="n">
        <v>46183</v>
      </c>
      <c r="D42" t="inlineStr">
        <is>
          <t>STOCKHOLMS LÄN</t>
        </is>
      </c>
      <c r="E42" t="inlineStr">
        <is>
          <t>BOTKYRKA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48656-2022</t>
        </is>
      </c>
      <c r="B43" s="1" t="n">
        <v>44859.43993055556</v>
      </c>
      <c r="C43" s="1" t="n">
        <v>46183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46183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46183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46183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46183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61514-2022</t>
        </is>
      </c>
      <c r="B48" s="1" t="n">
        <v>44916</v>
      </c>
      <c r="C48" s="1" t="n">
        <v>46183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15692-2023</t>
        </is>
      </c>
      <c r="B49" s="1" t="n">
        <v>45020</v>
      </c>
      <c r="C49" s="1" t="n">
        <v>46183</v>
      </c>
      <c r="D49" t="inlineStr">
        <is>
          <t>STOCKHOLMS LÄN</t>
        </is>
      </c>
      <c r="E49" t="inlineStr">
        <is>
          <t>BOTKYRKA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46183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46183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46183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46183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46183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21285-2023</t>
        </is>
      </c>
      <c r="B55" s="1" t="n">
        <v>45062</v>
      </c>
      <c r="C55" s="1" t="n">
        <v>46183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46183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35197-2024</t>
        </is>
      </c>
      <c r="B57" s="1" t="n">
        <v>45530</v>
      </c>
      <c r="C57" s="1" t="n">
        <v>46183</v>
      </c>
      <c r="D57" t="inlineStr">
        <is>
          <t>STOCKHOLMS LÄN</t>
        </is>
      </c>
      <c r="E57" t="inlineStr">
        <is>
          <t>BOTKYRKA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3021-2025</t>
        </is>
      </c>
      <c r="B58" s="1" t="n">
        <v>45678.57962962963</v>
      </c>
      <c r="C58" s="1" t="n">
        <v>46183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46183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50474-2025</t>
        </is>
      </c>
      <c r="B60" s="1" t="n">
        <v>45945.36526620371</v>
      </c>
      <c r="C60" s="1" t="n">
        <v>46183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46183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46183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54468-2025</t>
        </is>
      </c>
      <c r="B63" s="1" t="n">
        <v>45965</v>
      </c>
      <c r="C63" s="1" t="n">
        <v>46183</v>
      </c>
      <c r="D63" t="inlineStr">
        <is>
          <t>STOCKHOLMS LÄN</t>
        </is>
      </c>
      <c r="E63" t="inlineStr">
        <is>
          <t>BOTKYRKA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11867-2024</t>
        </is>
      </c>
      <c r="B64" s="1" t="n">
        <v>45376.45421296296</v>
      </c>
      <c r="C64" s="1" t="n">
        <v>46183</v>
      </c>
      <c r="D64" t="inlineStr">
        <is>
          <t>STOCKHOLMS LÄN</t>
        </is>
      </c>
      <c r="E64" t="inlineStr">
        <is>
          <t>BOTKYRKA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16483-2023</t>
        </is>
      </c>
      <c r="B65" s="1" t="n">
        <v>45029</v>
      </c>
      <c r="C65" s="1" t="n">
        <v>46183</v>
      </c>
      <c r="D65" t="inlineStr">
        <is>
          <t>STOCKHOLMS LÄN</t>
        </is>
      </c>
      <c r="E65" t="inlineStr">
        <is>
          <t>BOTKYRKA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46183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30925-2023</t>
        </is>
      </c>
      <c r="B67" s="1" t="n">
        <v>45113</v>
      </c>
      <c r="C67" s="1" t="n">
        <v>46183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45869-2022</t>
        </is>
      </c>
      <c r="B68" s="1" t="n">
        <v>44844</v>
      </c>
      <c r="C68" s="1" t="n">
        <v>46183</v>
      </c>
      <c r="D68" t="inlineStr">
        <is>
          <t>STOCKHOLMS LÄN</t>
        </is>
      </c>
      <c r="E68" t="inlineStr">
        <is>
          <t>BOTKYRKA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14217-2025</t>
        </is>
      </c>
      <c r="B69" s="1" t="n">
        <v>45740.58534722222</v>
      </c>
      <c r="C69" s="1" t="n">
        <v>46183</v>
      </c>
      <c r="D69" t="inlineStr">
        <is>
          <t>STOCKHOLMS LÄN</t>
        </is>
      </c>
      <c r="E69" t="inlineStr">
        <is>
          <t>BOTKYRKA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12306-2026</t>
        </is>
      </c>
      <c r="B70" s="1" t="n">
        <v>46087.57949074074</v>
      </c>
      <c r="C70" s="1" t="n">
        <v>46183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12294-2026</t>
        </is>
      </c>
      <c r="B71" s="1" t="n">
        <v>46087.55737268519</v>
      </c>
      <c r="C71" s="1" t="n">
        <v>46183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22391-2026</t>
        </is>
      </c>
      <c r="B72" s="1" t="n">
        <v>46154.64201388889</v>
      </c>
      <c r="C72" s="1" t="n">
        <v>46183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23716-2026</t>
        </is>
      </c>
      <c r="B73" s="1" t="n">
        <v>46164.46613425926</v>
      </c>
      <c r="C73" s="1" t="n">
        <v>46183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23718-2026</t>
        </is>
      </c>
      <c r="B74" s="1" t="n">
        <v>46164.46760416667</v>
      </c>
      <c r="C74" s="1" t="n">
        <v>46183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23725-2026</t>
        </is>
      </c>
      <c r="B75" s="1" t="n">
        <v>46164.46996527778</v>
      </c>
      <c r="C75" s="1" t="n">
        <v>46183</v>
      </c>
      <c r="D75" t="inlineStr">
        <is>
          <t>STOCKHOLMS LÄN</t>
        </is>
      </c>
      <c r="E75" t="inlineStr">
        <is>
          <t>BOTKYRKA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24799-2026</t>
        </is>
      </c>
      <c r="B76" s="1" t="n">
        <v>46171.85594907407</v>
      </c>
      <c r="C76" s="1" t="n">
        <v>46183</v>
      </c>
      <c r="D76" t="inlineStr">
        <is>
          <t>STOCKHOLMS LÄN</t>
        </is>
      </c>
      <c r="E76" t="inlineStr">
        <is>
          <t>BOTKYRKA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25306-2026</t>
        </is>
      </c>
      <c r="B77" s="1" t="n">
        <v>46176.47320601852</v>
      </c>
      <c r="C77" s="1" t="n">
        <v>46183</v>
      </c>
      <c r="D77" t="inlineStr">
        <is>
          <t>STOCKHOLMS LÄN</t>
        </is>
      </c>
      <c r="E77" t="inlineStr">
        <is>
          <t>BOTKYRKA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25315-2026</t>
        </is>
      </c>
      <c r="B78" s="1" t="n">
        <v>46176.48607638889</v>
      </c>
      <c r="C78" s="1" t="n">
        <v>46183</v>
      </c>
      <c r="D78" t="inlineStr">
        <is>
          <t>STOCKHOLMS LÄN</t>
        </is>
      </c>
      <c r="E78" t="inlineStr">
        <is>
          <t>BOTKYRKA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25319-2026</t>
        </is>
      </c>
      <c r="B79" s="1" t="n">
        <v>46176.49130787037</v>
      </c>
      <c r="C79" s="1" t="n">
        <v>46183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2026-06-10T09:25:31Z</dcterms:created>
  <dcterms:modified xmlns:dcterms="http://purl.org/dc/terms/" xmlns:xsi="http://www.w3.org/2001/XMLSchema-instance" xsi:type="dcterms:W3CDTF">2026-06-10T09:25:31Z</dcterms:modified>
</cp:coreProperties>
</file>