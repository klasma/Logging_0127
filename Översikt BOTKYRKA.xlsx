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46303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46303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46303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46303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46303</v>
      </c>
      <c r="F6" t="inlineStr">
        <is>
          <t>STOCKHOLMS LÄN</t>
        </is>
      </c>
      <c r="G6" t="inlineStr">
        <is>
          <t>BOTKYRKA</t>
        </is>
      </c>
      <c r="H6" t="inlineStr">
        <is>
          <t>Övriga Aktiebolag</t>
        </is>
      </c>
      <c r="I6" t="n">
        <v>17.1</v>
      </c>
      <c r="J6" t="n">
        <v>2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9</v>
      </c>
      <c r="T6" t="n">
        <v>91</v>
      </c>
      <c r="U6" t="n">
        <v>89</v>
      </c>
      <c r="V6" s="2" t="inlineStr">
        <is>
          <t>Hasselsnok
Igelkott
Lammticka
Motaggsvamp
Skarp dropptaggsvamp
Svartvit taggsvamp
Tallticka
Talltita
Mindre märgborre</t>
        </is>
      </c>
      <c r="W6">
        <f>HYPERLINK("https://klasma.github.io/Logging_0127/artfynd/A 48514-2025 artfynd.xlsx", "A 48514-2025")</f>
        <v/>
      </c>
      <c r="X6">
        <f>HYPERLINK("https://klasma.github.io/Logging_0127/kartor/A 48514-2025 karta.png", "A 48514-2025")</f>
        <v/>
      </c>
      <c r="Y6">
        <f>HYPERLINK("https://klasma.github.io/Logging_0127/kartor_geotiff/A 48514-2025 georefererad karta.tif", "A 48514-2025")</f>
        <v/>
      </c>
      <c r="AA6">
        <f>HYPERLINK("https://klasma.github.io/Logging_0127/klagomål/A 48514-2025 FSC-klagomål.docx", "A 48514-2025")</f>
        <v/>
      </c>
      <c r="AB6">
        <f>HYPERLINK("https://klasma.github.io/Logging_0127/klagomålsmail/A 48514-2025 FSC-klagomål mail.docx", "A 48514-2025")</f>
        <v/>
      </c>
      <c r="AC6">
        <f>HYPERLINK("https://klasma.github.io/Logging_0127/tillsyn/A 48514-2025 tillsynsbegäran.docx", "A 48514-2025")</f>
        <v/>
      </c>
      <c r="AD6">
        <f>HYPERLINK("https://klasma.github.io/Logging_0127/tillsynsmail/A 48514-2025 tillsynsbegäran mail.docx", "A 48514-2025")</f>
        <v/>
      </c>
      <c r="AE6">
        <f>HYPERLINK("https://klasma.github.io/Logging_0127/fåglar/A 48514-2025 prioriterade fågelarter.docx", "A 48514-2025")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46303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46303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46303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46303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46303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46303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46303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23829-2023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45078</v>
      </c>
      <c r="E14" s="1" t="n">
        <v>46303</v>
      </c>
      <c r="F14" t="inlineStr">
        <is>
          <t>STOCKHOLMS LÄN</t>
        </is>
      </c>
      <c r="G14" t="inlineStr">
        <is>
          <t>BOTKYRKA</t>
        </is>
      </c>
      <c r="H14" t="inlineStr">
        <is>
          <t>Kommuner</t>
        </is>
      </c>
      <c r="I14" t="n">
        <v>3.7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Fjällig taggsvamp s.str.
Tallticka
Fläcknycklar</t>
        </is>
      </c>
      <c r="W14">
        <f>HYPERLINK("https://klasma.github.io/Logging_0127/artfynd/A 23829-2023 artfynd.xlsx", "A 23829-2023")</f>
        <v/>
      </c>
      <c r="X14">
        <f>HYPERLINK("https://klasma.github.io/Logging_0127/kartor/A 23829-2023 karta.png", "A 23829-2023")</f>
        <v/>
      </c>
      <c r="Y14">
        <f>HYPERLINK("https://klasma.github.io/Logging_0127/kartor_geotiff/A 23829-2023 georefererad karta.tif", "A 23829-2023")</f>
        <v/>
      </c>
      <c r="AA14">
        <f>HYPERLINK("https://klasma.github.io/Logging_0127/klagomål/A 23829-2023 FSC-klagomål.docx", "A 23829-2023")</f>
        <v/>
      </c>
      <c r="AB14">
        <f>HYPERLINK("https://klasma.github.io/Logging_0127/klagomålsmail/A 23829-2023 FSC-klagomål mail.docx", "A 23829-2023")</f>
        <v/>
      </c>
      <c r="AC14">
        <f>HYPERLINK("https://klasma.github.io/Logging_0127/tillsyn/A 23829-2023 tillsynsbegäran.docx", "A 23829-2023")</f>
        <v/>
      </c>
      <c r="AD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44938</v>
      </c>
      <c r="E15" s="1" t="n">
        <v>46303</v>
      </c>
      <c r="F15" t="inlineStr">
        <is>
          <t>STOCKHOLMS LÄN</t>
        </is>
      </c>
      <c r="G15" t="inlineStr">
        <is>
          <t>BOTKYRKA</t>
        </is>
      </c>
      <c r="I15" t="n">
        <v>1.1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Lunglav
Bårdlav
Grön sköldmossa</t>
        </is>
      </c>
      <c r="W15">
        <f>HYPERLINK("https://klasma.github.io/Logging_0127/artfynd/A 1697-2023 artfynd.xlsx", "A 1697-2023")</f>
        <v/>
      </c>
      <c r="X15">
        <f>HYPERLINK("https://klasma.github.io/Logging_0127/kartor/A 1697-2023 karta.png", "A 1697-2023")</f>
        <v/>
      </c>
      <c r="Y15">
        <f>HYPERLINK("https://klasma.github.io/Logging_0127/kartor_geotiff/A 1697-2023 georefererad karta.tif", "A 1697-2023")</f>
        <v/>
      </c>
      <c r="AA15">
        <f>HYPERLINK("https://klasma.github.io/Logging_0127/klagomål/A 1697-2023 FSC-klagomål.docx", "A 1697-2023")</f>
        <v/>
      </c>
      <c r="AB15">
        <f>HYPERLINK("https://klasma.github.io/Logging_0127/klagomålsmail/A 1697-2023 FSC-klagomål mail.docx", "A 1697-2023")</f>
        <v/>
      </c>
      <c r="AC15">
        <f>HYPERLINK("https://klasma.github.io/Logging_0127/tillsyn/A 1697-2023 tillsynsbegäran.docx", "A 1697-2023")</f>
        <v/>
      </c>
      <c r="AD15">
        <f>HYPERLINK("https://klasma.github.io/Logging_0127/tillsynsmail/A 1697-2023 tillsynsbegäran mail.docx", "A 1697-2023")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46303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46303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46303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18100-2022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44684</v>
      </c>
      <c r="E19" s="1" t="n">
        <v>46303</v>
      </c>
      <c r="F19" t="inlineStr">
        <is>
          <t>STOCKHOLMS LÄN</t>
        </is>
      </c>
      <c r="G19" t="inlineStr">
        <is>
          <t>BOTKYRKA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Svart trolldruva
Gullviva</t>
        </is>
      </c>
      <c r="W19">
        <f>HYPERLINK("https://klasma.github.io/Logging_0127/artfynd/A 18100-2022 artfynd.xlsx", "A 18100-2022")</f>
        <v/>
      </c>
      <c r="X19">
        <f>HYPERLINK("https://klasma.github.io/Logging_0127/kartor/A 18100-2022 karta.png", "A 18100-2022")</f>
        <v/>
      </c>
      <c r="Y19">
        <f>HYPERLINK("https://klasma.github.io/Logging_0127/kartor_geotiff/A 18100-2022 georefererad karta.tif", "A 18100-2022")</f>
        <v/>
      </c>
      <c r="AA19">
        <f>HYPERLINK("https://klasma.github.io/Logging_0127/klagomål/A 18100-2022 FSC-klagomål.docx", "A 18100-2022")</f>
        <v/>
      </c>
      <c r="AB19">
        <f>HYPERLINK("https://klasma.github.io/Logging_0127/klagomålsmail/A 18100-2022 FSC-klagomål mail.docx", "A 18100-2022")</f>
        <v/>
      </c>
      <c r="AC19">
        <f>HYPERLINK("https://klasma.github.io/Logging_0127/tillsyn/A 18100-2022 tillsynsbegäran.docx", "A 18100-2022")</f>
        <v/>
      </c>
      <c r="AD19">
        <f>HYPERLINK("https://klasma.github.io/Logging_0127/tillsynsmail/A 18100-2022 tillsynsbegäran mail.docx", "A 18100-2022")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46303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46303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46303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46303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14214-2025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46303</v>
      </c>
      <c r="F24" t="inlineStr">
        <is>
          <t>STOCKHOLMS LÄN</t>
        </is>
      </c>
      <c r="G24" t="inlineStr">
        <is>
          <t>BOTKYRKA</t>
        </is>
      </c>
      <c r="I24" t="n">
        <v>2.5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Stare</t>
        </is>
      </c>
      <c r="W24">
        <f>HYPERLINK("https://klasma.github.io/Logging_0127/artfynd/A 14214-2025 artfynd.xlsx", "A 14214-2025")</f>
        <v/>
      </c>
      <c r="X24">
        <f>HYPERLINK("https://klasma.github.io/Logging_0127/kartor/A 14214-2025 karta.png", "A 14214-2025")</f>
        <v/>
      </c>
      <c r="Y24">
        <f>HYPERLINK("https://klasma.github.io/Logging_0127/kartor_geotiff/A 14214-2025 georefererad karta.tif", "A 14214-2025")</f>
        <v/>
      </c>
      <c r="AA24">
        <f>HYPERLINK("https://klasma.github.io/Logging_0127/klagomål/A 14214-2025 FSC-klagomål.docx", "A 14214-2025")</f>
        <v/>
      </c>
      <c r="AB24">
        <f>HYPERLINK("https://klasma.github.io/Logging_0127/klagomålsmail/A 14214-2025 FSC-klagomål mail.docx", "A 14214-2025")</f>
        <v/>
      </c>
      <c r="AC24">
        <f>HYPERLINK("https://klasma.github.io/Logging_0127/tillsyn/A 14214-2025 tillsynsbegäran.docx", "A 14214-2025")</f>
        <v/>
      </c>
      <c r="AD24">
        <f>HYPERLINK("https://klasma.github.io/Logging_0127/tillsynsmail/A 14214-2025 tillsynsbegäran mail.docx", "A 14214-2025")</f>
        <v/>
      </c>
      <c r="AE24">
        <f>HYPERLINK("https://klasma.github.io/Logging_0127/fåglar/A 14214-2025 prioriterade fågelarter.docx", "A 14214-2025")</f>
        <v/>
      </c>
    </row>
    <row r="25" ht="15" customHeight="1">
      <c r="A25" t="inlineStr">
        <is>
          <t>A 28983-2024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45481</v>
      </c>
      <c r="E25" s="1" t="n">
        <v>46303</v>
      </c>
      <c r="F25" t="inlineStr">
        <is>
          <t>STOCKHOLMS LÄN</t>
        </is>
      </c>
      <c r="G25" t="inlineStr">
        <is>
          <t>BOTKYRKA</t>
        </is>
      </c>
      <c r="I25" t="n">
        <v>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Tibast</t>
        </is>
      </c>
      <c r="W25">
        <f>HYPERLINK("https://klasma.github.io/Logging_0127/artfynd/A 28983-2024 artfynd.xlsx", "A 28983-2024")</f>
        <v/>
      </c>
      <c r="X25">
        <f>HYPERLINK("https://klasma.github.io/Logging_0127/kartor/A 28983-2024 karta.png", "A 28983-2024")</f>
        <v/>
      </c>
      <c r="Y25">
        <f>HYPERLINK("https://klasma.github.io/Logging_0127/kartor_geotiff/A 28983-2024 georefererad karta.tif", "A 28983-2024")</f>
        <v/>
      </c>
      <c r="AA25">
        <f>HYPERLINK("https://klasma.github.io/Logging_0127/klagomål/A 28983-2024 FSC-klagomål.docx", "A 28983-2024")</f>
        <v/>
      </c>
      <c r="AB25">
        <f>HYPERLINK("https://klasma.github.io/Logging_0127/klagomålsmail/A 28983-2024 FSC-klagomål mail.docx", "A 28983-2024")</f>
        <v/>
      </c>
      <c r="AC25">
        <f>HYPERLINK("https://klasma.github.io/Logging_0127/tillsyn/A 28983-2024 tillsynsbegäran.docx", "A 28983-2024")</f>
        <v/>
      </c>
      <c r="AD25">
        <f>HYPERLINK("https://klasma.github.io/Logging_0127/tillsynsmail/A 28983-2024 tillsynsbegäran mail.docx", "A 28983-2024")</f>
        <v/>
      </c>
    </row>
    <row r="26" ht="15" customHeight="1">
      <c r="A26" t="inlineStr">
        <is>
          <t>A 1691-2023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44938</v>
      </c>
      <c r="E26" s="1" t="n">
        <v>46303</v>
      </c>
      <c r="F26" t="inlineStr">
        <is>
          <t>STOCKHOLMS LÄN</t>
        </is>
      </c>
      <c r="G26" t="inlineStr">
        <is>
          <t>BOTKYRKA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HYPERLINK("https://klasma.github.io/Logging_0127/artfynd/A 1691-2023 artfynd.xlsx", "A 1691-2023")</f>
        <v/>
      </c>
      <c r="X26">
        <f>HYPERLINK("https://klasma.github.io/Logging_0127/kartor/A 1691-2023 karta.png", "A 1691-2023")</f>
        <v/>
      </c>
      <c r="Y26">
        <f>HYPERLINK("https://klasma.github.io/Logging_0127/kartor_geotiff/A 1691-2023 georefererad karta.tif", "A 1691-2023")</f>
        <v/>
      </c>
      <c r="AA26">
        <f>HYPERLINK("https://klasma.github.io/Logging_0127/klagomål/A 1691-2023 FSC-klagomål.docx", "A 1691-2023")</f>
        <v/>
      </c>
      <c r="AB26">
        <f>HYPERLINK("https://klasma.github.io/Logging_0127/klagomålsmail/A 1691-2023 FSC-klagomål mail.docx", "A 1691-2023")</f>
        <v/>
      </c>
      <c r="AC26">
        <f>HYPERLINK("https://klasma.github.io/Logging_0127/tillsyn/A 1691-2023 tillsynsbegäran.docx", "A 1691-2023")</f>
        <v/>
      </c>
      <c r="AD26">
        <f>HYPERLINK("https://klasma.github.io/Logging_0127/tillsynsmail/A 1691-2023 tillsynsbegäran mail.docx", "A 1691-2023")</f>
        <v/>
      </c>
    </row>
    <row r="27" ht="15" customHeight="1">
      <c r="A27" t="inlineStr">
        <is>
          <t>A 3726-2022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46303</v>
      </c>
      <c r="F27" t="inlineStr">
        <is>
          <t>STOCKHOLMS LÄN</t>
        </is>
      </c>
      <c r="G27" t="inlineStr">
        <is>
          <t>BOTKYRKA</t>
        </is>
      </c>
      <c r="I27" t="n">
        <v>17.1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Blomkålssvamp</t>
        </is>
      </c>
      <c r="W27">
        <f>HYPERLINK("https://klasma.github.io/Logging_0127/artfynd/A 3726-2022 artfynd.xlsx", "A 3726-2022")</f>
        <v/>
      </c>
      <c r="X27">
        <f>HYPERLINK("https://klasma.github.io/Logging_0127/kartor/A 3726-2022 karta.png", "A 3726-2022")</f>
        <v/>
      </c>
      <c r="Y27">
        <f>HYPERLINK("https://klasma.github.io/Logging_0127/kartor_geotiff/A 3726-2022 georefererad karta.tif", "A 3726-2022")</f>
        <v/>
      </c>
      <c r="AA27">
        <f>HYPERLINK("https://klasma.github.io/Logging_0127/klagomål/A 3726-2022 FSC-klagomål.docx", "A 3726-2022")</f>
        <v/>
      </c>
      <c r="AB27">
        <f>HYPERLINK("https://klasma.github.io/Logging_0127/klagomålsmail/A 3726-2022 FSC-klagomål mail.docx", "A 3726-2022")</f>
        <v/>
      </c>
      <c r="AC27">
        <f>HYPERLINK("https://klasma.github.io/Logging_0127/tillsyn/A 3726-2022 tillsynsbegäran.docx", "A 3726-2022")</f>
        <v/>
      </c>
      <c r="AD27">
        <f>HYPERLINK("https://klasma.github.io/Logging_0127/tillsynsmail/A 3726-2022 tillsynsbegäran mail.docx", "A 3726-2022")</f>
        <v/>
      </c>
    </row>
    <row r="28" ht="15" customHeight="1">
      <c r="A28" t="inlineStr">
        <is>
          <t>A 15690-2023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45020</v>
      </c>
      <c r="E28" s="1" t="n">
        <v>46303</v>
      </c>
      <c r="F28" t="inlineStr">
        <is>
          <t>STOCKHOLMS LÄN</t>
        </is>
      </c>
      <c r="G28" t="inlineStr">
        <is>
          <t>BOTKYRKA</t>
        </is>
      </c>
      <c r="I28" t="n">
        <v>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Gullpudra</t>
        </is>
      </c>
      <c r="W28">
        <f>HYPERLINK("https://klasma.github.io/Logging_0127/artfynd/A 15690-2023 artfynd.xlsx", "A 15690-2023")</f>
        <v/>
      </c>
      <c r="X28">
        <f>HYPERLINK("https://klasma.github.io/Logging_0127/kartor/A 15690-2023 karta.png", "A 15690-2023")</f>
        <v/>
      </c>
      <c r="Y28">
        <f>HYPERLINK("https://klasma.github.io/Logging_0127/kartor_geotiff/A 15690-2023 georefererad karta.tif", "A 15690-2023")</f>
        <v/>
      </c>
      <c r="AA28">
        <f>HYPERLINK("https://klasma.github.io/Logging_0127/klagomål/A 15690-2023 FSC-klagomål.docx", "A 15690-2023")</f>
        <v/>
      </c>
      <c r="AB28">
        <f>HYPERLINK("https://klasma.github.io/Logging_0127/klagomålsmail/A 15690-2023 FSC-klagomål mail.docx", "A 15690-2023")</f>
        <v/>
      </c>
      <c r="AC28">
        <f>HYPERLINK("https://klasma.github.io/Logging_0127/tillsyn/A 15690-2023 tillsynsbegäran.docx", "A 15690-2023")</f>
        <v/>
      </c>
      <c r="AD28">
        <f>HYPERLINK("https://klasma.github.io/Logging_0127/tillsynsmail/A 15690-2023 tillsynsbegäran mail.docx", "A 15690-2023")</f>
        <v/>
      </c>
    </row>
    <row r="29" ht="15" customHeight="1">
      <c r="A29" t="inlineStr">
        <is>
          <t>A 61514-2022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44916</v>
      </c>
      <c r="E29" s="1" t="n">
        <v>46303</v>
      </c>
      <c r="F29" t="inlineStr">
        <is>
          <t>STOCKHOLMS LÄN</t>
        </is>
      </c>
      <c r="G29" t="inlineStr">
        <is>
          <t>BOTKYRKA</t>
        </is>
      </c>
      <c r="I29" t="n">
        <v>1.3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Vanlig groda</t>
        </is>
      </c>
      <c r="W29">
        <f>HYPERLINK("https://klasma.github.io/Logging_0127/artfynd/A 61514-2022 artfynd.xlsx", "A 61514-2022")</f>
        <v/>
      </c>
      <c r="X29">
        <f>HYPERLINK("https://klasma.github.io/Logging_0127/kartor/A 61514-2022 karta.png", "A 61514-2022")</f>
        <v/>
      </c>
      <c r="Y29">
        <f>HYPERLINK("https://klasma.github.io/Logging_0127/kartor_geotiff/A 61514-2022 georefererad karta.tif", "A 61514-2022")</f>
        <v/>
      </c>
      <c r="AA29">
        <f>HYPERLINK("https://klasma.github.io/Logging_0127/klagomål/A 61514-2022 FSC-klagomål.docx", "A 61514-2022")</f>
        <v/>
      </c>
      <c r="AB29">
        <f>HYPERLINK("https://klasma.github.io/Logging_0127/klagomålsmail/A 61514-2022 FSC-klagomål mail.docx", "A 61514-2022")</f>
        <v/>
      </c>
      <c r="AC29">
        <f>HYPERLINK("https://klasma.github.io/Logging_0127/tillsyn/A 61514-2022 tillsynsbegäran.docx", "A 61514-2022")</f>
        <v/>
      </c>
      <c r="AD29">
        <f>HYPERLINK("https://klasma.github.io/Logging_0127/tillsynsmail/A 61514-2022 tillsynsbegäran mail.docx", "A 61514-2022")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46303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46303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46303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46303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46303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46303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45678</v>
      </c>
      <c r="E36" s="1" t="n">
        <v>46303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46303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46303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46303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11876-2024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45376</v>
      </c>
      <c r="E40" s="1" t="n">
        <v>46303</v>
      </c>
      <c r="F40" t="inlineStr">
        <is>
          <t>STOCKHOLMS LÄN</t>
        </is>
      </c>
      <c r="G40" t="inlineStr">
        <is>
          <t>BOTKYRKA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16145-2024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45406</v>
      </c>
      <c r="E41" s="1" t="n">
        <v>46303</v>
      </c>
      <c r="F41" t="inlineStr">
        <is>
          <t>STOCKHOLMS LÄN</t>
        </is>
      </c>
      <c r="G41" t="inlineStr">
        <is>
          <t>BOTKYRKA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16142-2024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46303</v>
      </c>
      <c r="F42" t="inlineStr">
        <is>
          <t>STOCKHOLMS LÄN</t>
        </is>
      </c>
      <c r="G42" t="inlineStr">
        <is>
          <t>BOTKYRKA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46303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45376</v>
      </c>
      <c r="E44" s="1" t="n">
        <v>46303</v>
      </c>
      <c r="F44" t="inlineStr">
        <is>
          <t>STOCKHOLMS LÄN</t>
        </is>
      </c>
      <c r="G44" t="inlineStr">
        <is>
          <t>BOTKYRKA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46303</v>
      </c>
      <c r="F45" t="inlineStr">
        <is>
          <t>STOCKHOLMS LÄN</t>
        </is>
      </c>
      <c r="G45" t="inlineStr">
        <is>
          <t>BOTKYRKA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73151-2021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46303</v>
      </c>
      <c r="F46" t="inlineStr">
        <is>
          <t>STOCKHOLMS LÄN</t>
        </is>
      </c>
      <c r="G46" t="inlineStr">
        <is>
          <t>BOTKYRKA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73194-2021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44550</v>
      </c>
      <c r="E47" s="1" t="n">
        <v>46303</v>
      </c>
      <c r="F47" t="inlineStr">
        <is>
          <t>STOCKHOLMS LÄN</t>
        </is>
      </c>
      <c r="G47" t="inlineStr">
        <is>
          <t>BOTKYRKA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73155-2021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44550</v>
      </c>
      <c r="E48" s="1" t="n">
        <v>46303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46303</v>
      </c>
      <c r="F49" t="inlineStr">
        <is>
          <t>STOCKHOLMS LÄN</t>
        </is>
      </c>
      <c r="G49" t="inlineStr">
        <is>
          <t>BOTKYRKA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45020</v>
      </c>
      <c r="E50" s="1" t="n">
        <v>46303</v>
      </c>
      <c r="F50" t="inlineStr">
        <is>
          <t>STOCKHOLMS LÄN</t>
        </is>
      </c>
      <c r="G50" t="inlineStr">
        <is>
          <t>BOTKYRKA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45740</v>
      </c>
      <c r="E51" s="1" t="n">
        <v>46303</v>
      </c>
      <c r="F51" t="inlineStr">
        <is>
          <t>STOCKHOLMS LÄN</t>
        </is>
      </c>
      <c r="G51" t="inlineStr">
        <is>
          <t>BOTKYRKA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22391-2026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46154</v>
      </c>
      <c r="E52" s="1" t="n">
        <v>46303</v>
      </c>
      <c r="F52" t="inlineStr">
        <is>
          <t>STOCKHOLMS LÄN</t>
        </is>
      </c>
      <c r="G52" t="inlineStr">
        <is>
          <t>BOTKYRKA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46164</v>
      </c>
      <c r="E53" s="1" t="n">
        <v>46303</v>
      </c>
      <c r="F53" t="inlineStr">
        <is>
          <t>STOCKHOLMS LÄN</t>
        </is>
      </c>
      <c r="G53" t="inlineStr">
        <is>
          <t>BOTKYRKA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23718-2026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46303</v>
      </c>
      <c r="F54" t="inlineStr">
        <is>
          <t>STOCKHOLMS LÄN</t>
        </is>
      </c>
      <c r="G54" t="inlineStr">
        <is>
          <t>BOTKYRKA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46303</v>
      </c>
      <c r="F55" t="inlineStr">
        <is>
          <t>STOCKHOLMS LÄN</t>
        </is>
      </c>
      <c r="G55" t="inlineStr">
        <is>
          <t>BOTKYRKA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44700</v>
      </c>
      <c r="E56" s="1" t="n">
        <v>46303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45062</v>
      </c>
      <c r="E57" s="1" t="n">
        <v>46303</v>
      </c>
      <c r="F57" t="inlineStr">
        <is>
          <t>STOCKHOLMS LÄN</t>
        </is>
      </c>
      <c r="G57" t="inlineStr">
        <is>
          <t>BOTKYRKA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44599</v>
      </c>
      <c r="E58" s="1" t="n">
        <v>46303</v>
      </c>
      <c r="F58" t="inlineStr">
        <is>
          <t>STOCKHOLMS LÄN</t>
        </is>
      </c>
      <c r="G58" t="inlineStr">
        <is>
          <t>BOTKYRKA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8528-2024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45355</v>
      </c>
      <c r="E59" s="1" t="n">
        <v>46303</v>
      </c>
      <c r="F59" t="inlineStr">
        <is>
          <t>STOCKHOLMS LÄN</t>
        </is>
      </c>
      <c r="G59" t="inlineStr">
        <is>
          <t>BOTKYRKA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46303</v>
      </c>
      <c r="F60" t="inlineStr">
        <is>
          <t>STOCKHOLMS LÄN</t>
        </is>
      </c>
      <c r="G60" t="inlineStr">
        <is>
          <t>BOTKYRKA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27717-2026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46190</v>
      </c>
      <c r="E61" s="1" t="n">
        <v>46303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44979</v>
      </c>
      <c r="E62" s="1" t="n">
        <v>46303</v>
      </c>
      <c r="F62" t="inlineStr">
        <is>
          <t>STOCKHOLMS LÄN</t>
        </is>
      </c>
      <c r="G62" t="inlineStr">
        <is>
          <t>BOTKYRKA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46303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12306-2026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46087</v>
      </c>
      <c r="E64" s="1" t="n">
        <v>46303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46087</v>
      </c>
      <c r="E65" s="1" t="n">
        <v>46303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46303</v>
      </c>
      <c r="F66" t="inlineStr">
        <is>
          <t>STOCKHOLMS LÄN</t>
        </is>
      </c>
      <c r="G66" t="inlineStr">
        <is>
          <t>BOTKYRKA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46303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30925-2023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45113</v>
      </c>
      <c r="E68" s="1" t="n">
        <v>46303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46303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46303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46258</v>
      </c>
      <c r="E71" s="1" t="n">
        <v>46303</v>
      </c>
      <c r="F71" t="inlineStr">
        <is>
          <t>STOCKHOLMS LÄN</t>
        </is>
      </c>
      <c r="G71" t="inlineStr">
        <is>
          <t>BOTKYRKA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46303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2026-10-08T02:08:51Z</dcterms:created>
  <dcterms:modified xmlns:dcterms="http://purl.org/dc/terms/" xmlns:xsi="http://www.w3.org/2001/XMLSchema-instance" xsi:type="dcterms:W3CDTF">2026-10-08T02:08:51Z</dcterms:modified>
</cp:coreProperties>
</file>