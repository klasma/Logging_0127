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46202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46202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46202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46202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46202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46202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46202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46202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46202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Fjällig taggsvamp s.str.
Tallticka
Fläcknycklar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46202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33015-2021</t>
        </is>
      </c>
      <c r="B15" s="1" t="n">
        <v>44376</v>
      </c>
      <c r="C15" s="1" t="n">
        <v>46202</v>
      </c>
      <c r="D15" t="inlineStr">
        <is>
          <t>STOCKHOLMS LÄN</t>
        </is>
      </c>
      <c r="E15" t="inlineStr">
        <is>
          <t>BOTKYRKA</t>
        </is>
      </c>
      <c r="G15" t="n">
        <v>48.7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HYPERLINK("https://klasma.github.io/Logging_0127/artfynd/A 33015-2021 artfynd.xlsx", "A 33015-2021")</f>
        <v/>
      </c>
      <c r="T15">
        <f>HYPERLINK("https://klasma.github.io/Logging_0127/kartor/A 33015-2021 karta.png", "A 33015-2021")</f>
        <v/>
      </c>
      <c r="V15">
        <f>HYPERLINK("https://klasma.github.io/Logging_0127/klagomål/A 33015-2021 FSC-klagomål.docx", "A 33015-2021")</f>
        <v/>
      </c>
      <c r="W15">
        <f>HYPERLINK("https://klasma.github.io/Logging_0127/klagomålsmail/A 33015-2021 FSC-klagomål mail.docx", "A 33015-2021")</f>
        <v/>
      </c>
      <c r="X15">
        <f>HYPERLINK("https://klasma.github.io/Logging_0127/tillsyn/A 33015-2021 tillsynsbegäran.docx", "A 33015-2021")</f>
        <v/>
      </c>
      <c r="Y15">
        <f>HYPERLINK("https://klasma.github.io/Logging_0127/tillsynsmail/A 33015-2021 tillsynsbegäran mail.docx", "A 33015-2021")</f>
        <v/>
      </c>
      <c r="Z15">
        <f>HYPERLINK("https://klasma.github.io/Logging_0127/fåglar/A 33015-2021 prioriterade fågelarter.docx", "A 33015-2021")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46202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46202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46202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46202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46202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46202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46202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46202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35492-2021</t>
        </is>
      </c>
      <c r="B24" s="1" t="n">
        <v>44385</v>
      </c>
      <c r="C24" s="1" t="n">
        <v>46202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HYPERLINK("https://klasma.github.io/Logging_0127/artfynd/A 35492-2021 artfynd.xlsx", "A 35492-2021")</f>
        <v/>
      </c>
      <c r="T24">
        <f>HYPERLINK("https://klasma.github.io/Logging_0127/kartor/A 35492-2021 karta.png", "A 35492-2021")</f>
        <v/>
      </c>
      <c r="V24">
        <f>HYPERLINK("https://klasma.github.io/Logging_0127/klagomål/A 35492-2021 FSC-klagomål.docx", "A 35492-2021")</f>
        <v/>
      </c>
      <c r="W24">
        <f>HYPERLINK("https://klasma.github.io/Logging_0127/klagomålsmail/A 35492-2021 FSC-klagomål mail.docx", "A 35492-2021")</f>
        <v/>
      </c>
      <c r="X24">
        <f>HYPERLINK("https://klasma.github.io/Logging_0127/tillsyn/A 35492-2021 tillsynsbegäran.docx", "A 35492-2021")</f>
        <v/>
      </c>
      <c r="Y24">
        <f>HYPERLINK("https://klasma.github.io/Logging_0127/tillsynsmail/A 35492-2021 tillsynsbegäran mail.docx", "A 35492-2021")</f>
        <v/>
      </c>
      <c r="Z24">
        <f>HYPERLINK("https://klasma.github.io/Logging_0127/fåglar/A 35492-2021 prioriterade fågelarter.docx", "A 35492-2021")</f>
        <v/>
      </c>
    </row>
    <row r="25" ht="15" customHeight="1">
      <c r="A25" t="inlineStr">
        <is>
          <t>A 15690-2023</t>
        </is>
      </c>
      <c r="B25" s="1" t="n">
        <v>45020</v>
      </c>
      <c r="C25" s="1" t="n">
        <v>46202</v>
      </c>
      <c r="D25" t="inlineStr">
        <is>
          <t>STOCKHOLMS LÄN</t>
        </is>
      </c>
      <c r="E25" t="inlineStr">
        <is>
          <t>BOTKYRKA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HYPERLINK("https://klasma.github.io/Logging_0127/artfynd/A 15690-2023 artfynd.xlsx", "A 15690-2023")</f>
        <v/>
      </c>
      <c r="T25">
        <f>HYPERLINK("https://klasma.github.io/Logging_0127/kartor/A 15690-2023 karta.png", "A 15690-2023")</f>
        <v/>
      </c>
      <c r="V25">
        <f>HYPERLINK("https://klasma.github.io/Logging_0127/klagomål/A 15690-2023 FSC-klagomål.docx", "A 15690-2023")</f>
        <v/>
      </c>
      <c r="W25">
        <f>HYPERLINK("https://klasma.github.io/Logging_0127/klagomålsmail/A 15690-2023 FSC-klagomål mail.docx", "A 15690-2023")</f>
        <v/>
      </c>
      <c r="X25">
        <f>HYPERLINK("https://klasma.github.io/Logging_0127/tillsyn/A 15690-2023 tillsynsbegäran.docx", "A 15690-2023")</f>
        <v/>
      </c>
      <c r="Y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46202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46202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HYPERLINK("https://klasma.github.io/Logging_0127/artfynd/A 14214-2025 artfynd.xlsx", "A 14214-2025")</f>
        <v/>
      </c>
      <c r="T27">
        <f>HYPERLINK("https://klasma.github.io/Logging_0127/kartor/A 14214-2025 karta.png", "A 14214-2025")</f>
        <v/>
      </c>
      <c r="V27">
        <f>HYPERLINK("https://klasma.github.io/Logging_0127/klagomål/A 14214-2025 FSC-klagomål.docx", "A 14214-2025")</f>
        <v/>
      </c>
      <c r="W27">
        <f>HYPERLINK("https://klasma.github.io/Logging_0127/klagomålsmail/A 14214-2025 FSC-klagomål mail.docx", "A 14214-2025")</f>
        <v/>
      </c>
      <c r="X27">
        <f>HYPERLINK("https://klasma.github.io/Logging_0127/tillsyn/A 14214-2025 tillsynsbegäran.docx", "A 14214-2025")</f>
        <v/>
      </c>
      <c r="Y27">
        <f>HYPERLINK("https://klasma.github.io/Logging_0127/tillsynsmail/A 14214-2025 tillsynsbegäran mail.docx", "A 14214-2025")</f>
        <v/>
      </c>
      <c r="Z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s="1" t="n">
        <v>44586</v>
      </c>
      <c r="C28" s="1" t="n">
        <v>46202</v>
      </c>
      <c r="D28" t="inlineStr">
        <is>
          <t>STOCKHOLMS LÄN</t>
        </is>
      </c>
      <c r="E28" t="inlineStr">
        <is>
          <t>BOTKYRKA</t>
        </is>
      </c>
      <c r="G28" t="n">
        <v>17.1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HYPERLINK("https://klasma.github.io/Logging_0127/artfynd/A 3726-2022 artfynd.xlsx", "A 3726-2022")</f>
        <v/>
      </c>
      <c r="T28">
        <f>HYPERLINK("https://klasma.github.io/Logging_0127/kartor/A 3726-2022 karta.png", "A 3726-2022")</f>
        <v/>
      </c>
      <c r="V28">
        <f>HYPERLINK("https://klasma.github.io/Logging_0127/klagomål/A 3726-2022 FSC-klagomål.docx", "A 3726-2022")</f>
        <v/>
      </c>
      <c r="W28">
        <f>HYPERLINK("https://klasma.github.io/Logging_0127/klagomålsmail/A 3726-2022 FSC-klagomål mail.docx", "A 3726-2022")</f>
        <v/>
      </c>
      <c r="X28">
        <f>HYPERLINK("https://klasma.github.io/Logging_0127/tillsyn/A 3726-2022 tillsynsbegäran.docx", "A 3726-2022")</f>
        <v/>
      </c>
      <c r="Y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s="1" t="n">
        <v>45481</v>
      </c>
      <c r="C29" s="1" t="n">
        <v>46202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28983-2024 artfynd.xlsx", "A 28983-2024")</f>
        <v/>
      </c>
      <c r="T29">
        <f>HYPERLINK("https://klasma.github.io/Logging_0127/kartor/A 28983-2024 karta.png", "A 28983-2024")</f>
        <v/>
      </c>
      <c r="V29">
        <f>HYPERLINK("https://klasma.github.io/Logging_0127/klagomål/A 28983-2024 FSC-klagomål.docx", "A 28983-2024")</f>
        <v/>
      </c>
      <c r="W29">
        <f>HYPERLINK("https://klasma.github.io/Logging_0127/klagomålsmail/A 28983-2024 FSC-klagomål mail.docx", "A 28983-2024")</f>
        <v/>
      </c>
      <c r="X29">
        <f>HYPERLINK("https://klasma.github.io/Logging_0127/tillsyn/A 28983-2024 tillsynsbegäran.docx", "A 28983-2024")</f>
        <v/>
      </c>
      <c r="Y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46202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s="1" t="n">
        <v>44916</v>
      </c>
      <c r="C31" s="1" t="n">
        <v>46202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HYPERLINK("https://klasma.github.io/Logging_0127/artfynd/A 61514-2022 artfynd.xlsx", "A 61514-2022")</f>
        <v/>
      </c>
      <c r="T31">
        <f>HYPERLINK("https://klasma.github.io/Logging_0127/kartor/A 61514-2022 karta.png", "A 61514-2022")</f>
        <v/>
      </c>
      <c r="V31">
        <f>HYPERLINK("https://klasma.github.io/Logging_0127/klagomål/A 61514-2022 FSC-klagomål.docx", "A 61514-2022")</f>
        <v/>
      </c>
      <c r="W31">
        <f>HYPERLINK("https://klasma.github.io/Logging_0127/klagomålsmail/A 61514-2022 FSC-klagomål mail.docx", "A 61514-2022")</f>
        <v/>
      </c>
      <c r="X31">
        <f>HYPERLINK("https://klasma.github.io/Logging_0127/tillsyn/A 61514-2022 tillsynsbegäran.docx", "A 61514-2022")</f>
        <v/>
      </c>
      <c r="Y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46202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46202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46202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46202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33016-2021</t>
        </is>
      </c>
      <c r="B36" s="1" t="n">
        <v>44376</v>
      </c>
      <c r="C36" s="1" t="n">
        <v>46202</v>
      </c>
      <c r="D36" t="inlineStr">
        <is>
          <t>STOCKHOLMS LÄN</t>
        </is>
      </c>
      <c r="E36" t="inlineStr">
        <is>
          <t>BOTKYRKA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46202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46202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46202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46202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46202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</v>
      </c>
      <c r="C42" s="1" t="n">
        <v>46202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61242-2022</t>
        </is>
      </c>
      <c r="B43" s="1" t="n">
        <v>44915</v>
      </c>
      <c r="C43" s="1" t="n">
        <v>46202</v>
      </c>
      <c r="D43" t="inlineStr">
        <is>
          <t>STOCKHOLMS LÄN</t>
        </is>
      </c>
      <c r="E43" t="inlineStr">
        <is>
          <t>BOTKYRKA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46202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46202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48656-2022</t>
        </is>
      </c>
      <c r="B46" s="1" t="n">
        <v>44859</v>
      </c>
      <c r="C46" s="1" t="n">
        <v>46202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46202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</v>
      </c>
      <c r="C48" s="1" t="n">
        <v>46202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46202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11867-2024</t>
        </is>
      </c>
      <c r="B50" s="1" t="n">
        <v>45376</v>
      </c>
      <c r="C50" s="1" t="n">
        <v>46202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46202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73194-2021</t>
        </is>
      </c>
      <c r="B52" s="1" t="n">
        <v>44550</v>
      </c>
      <c r="C52" s="1" t="n">
        <v>46202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</v>
      </c>
      <c r="C53" s="1" t="n">
        <v>46202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46202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</v>
      </c>
      <c r="C55" s="1" t="n">
        <v>46202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46202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46202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46202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46202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</v>
      </c>
      <c r="C60" s="1" t="n">
        <v>46202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46202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46202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46202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46202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46202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46202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30622-2024</t>
        </is>
      </c>
      <c r="B67" s="1" t="n">
        <v>45495</v>
      </c>
      <c r="C67" s="1" t="n">
        <v>46202</v>
      </c>
      <c r="D67" t="inlineStr">
        <is>
          <t>STOCKHOLMS LÄN</t>
        </is>
      </c>
      <c r="E67" t="inlineStr">
        <is>
          <t>BOTKYRKA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36097-2021</t>
        </is>
      </c>
      <c r="B68" s="1" t="n">
        <v>44389</v>
      </c>
      <c r="C68" s="1" t="n">
        <v>46202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16142-2024</t>
        </is>
      </c>
      <c r="B69" s="1" t="n">
        <v>45406</v>
      </c>
      <c r="C69" s="1" t="n">
        <v>46202</v>
      </c>
      <c r="D69" t="inlineStr">
        <is>
          <t>STOCKHOLMS LÄN</t>
        </is>
      </c>
      <c r="E69" t="inlineStr">
        <is>
          <t>BOTKYRKA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</v>
      </c>
      <c r="C70" s="1" t="n">
        <v>46202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</v>
      </c>
      <c r="C71" s="1" t="n">
        <v>46202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46202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12306-2026</t>
        </is>
      </c>
      <c r="B73" s="1" t="n">
        <v>46087</v>
      </c>
      <c r="C73" s="1" t="n">
        <v>46202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12294-2026</t>
        </is>
      </c>
      <c r="B74" s="1" t="n">
        <v>46087</v>
      </c>
      <c r="C74" s="1" t="n">
        <v>46202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23718-2026</t>
        </is>
      </c>
      <c r="B75" s="1" t="n">
        <v>46164</v>
      </c>
      <c r="C75" s="1" t="n">
        <v>46202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23725-2026</t>
        </is>
      </c>
      <c r="B76" s="1" t="n">
        <v>46164</v>
      </c>
      <c r="C76" s="1" t="n">
        <v>46202</v>
      </c>
      <c r="D76" t="inlineStr">
        <is>
          <t>STOCKHOLMS LÄN</t>
        </is>
      </c>
      <c r="E76" t="inlineStr">
        <is>
          <t>BOTKYRKA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23716-2026</t>
        </is>
      </c>
      <c r="B77" s="1" t="n">
        <v>46164</v>
      </c>
      <c r="C77" s="1" t="n">
        <v>46202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27717-2026</t>
        </is>
      </c>
      <c r="B78" s="1" t="n">
        <v>46190</v>
      </c>
      <c r="C78" s="1" t="n">
        <v>46202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22391-2026</t>
        </is>
      </c>
      <c r="B79" s="1" t="n">
        <v>46154</v>
      </c>
      <c r="C79" s="1" t="n">
        <v>46202</v>
      </c>
      <c r="D79" t="inlineStr">
        <is>
          <t>STOCKHOLMS LÄN</t>
        </is>
      </c>
      <c r="E79" t="inlineStr">
        <is>
          <t>BOTKYRKA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2026-06-29T00:58:35Z</dcterms:created>
  <dcterms:modified xmlns:dcterms="http://purl.org/dc/terms/" xmlns:xsi="http://www.w3.org/2001/XMLSchema-instance" xsi:type="dcterms:W3CDTF">2026-06-29T00:58:35Z</dcterms:modified>
</cp:coreProperties>
</file>