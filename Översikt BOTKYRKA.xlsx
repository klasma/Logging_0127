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46134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46134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46134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46134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46134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46134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46134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46134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46134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12842-2026</t>
        </is>
      </c>
      <c r="B17" s="1" t="n">
        <v>46092.44197916667</v>
      </c>
      <c r="C17" s="1" t="n">
        <v>46134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Fyrflikig jordstjärna</t>
        </is>
      </c>
      <c r="S17">
        <f>HYPERLINK("https://klasma.github.io/Logging_0127/artfynd/A 12842-2026 artfynd.xlsx", "A 12842-2026")</f>
        <v/>
      </c>
      <c r="T17">
        <f>HYPERLINK("https://klasma.github.io/Logging_0127/kartor/A 12842-2026 karta.png", "A 12842-2026")</f>
        <v/>
      </c>
      <c r="V17">
        <f>HYPERLINK("https://klasma.github.io/Logging_0127/klagomål/A 12842-2026 FSC-klagomål.docx", "A 12842-2026")</f>
        <v/>
      </c>
      <c r="W17">
        <f>HYPERLINK("https://klasma.github.io/Logging_0127/klagomålsmail/A 12842-2026 FSC-klagomål mail.docx", "A 12842-2026")</f>
        <v/>
      </c>
      <c r="X17">
        <f>HYPERLINK("https://klasma.github.io/Logging_0127/tillsyn/A 12842-2026 tillsynsbegäran.docx", "A 12842-2026")</f>
        <v/>
      </c>
      <c r="Y17">
        <f>HYPERLINK("https://klasma.github.io/Logging_0127/tillsynsmail/A 12842-2026 tillsynsbegäran mail.docx", "A 12842-2026")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46134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46134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46134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46134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12305-2026</t>
        </is>
      </c>
      <c r="B22" s="1" t="n">
        <v>46087.57827546296</v>
      </c>
      <c r="C22" s="1" t="n">
        <v>46134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HYPERLINK("https://klasma.github.io/Logging_0127/artfynd/A 12305-2026 artfynd.xlsx", "A 12305-2026")</f>
        <v/>
      </c>
      <c r="T22">
        <f>HYPERLINK("https://klasma.github.io/Logging_0127/kartor/A 12305-2026 karta.png", "A 12305-2026")</f>
        <v/>
      </c>
      <c r="V22">
        <f>HYPERLINK("https://klasma.github.io/Logging_0127/klagomål/A 12305-2026 FSC-klagomål.docx", "A 12305-2026")</f>
        <v/>
      </c>
      <c r="W22">
        <f>HYPERLINK("https://klasma.github.io/Logging_0127/klagomålsmail/A 12305-2026 FSC-klagomål mail.docx", "A 12305-2026")</f>
        <v/>
      </c>
      <c r="X22">
        <f>HYPERLINK("https://klasma.github.io/Logging_0127/tillsyn/A 12305-2026 tillsynsbegäran.docx", "A 12305-2026")</f>
        <v/>
      </c>
      <c r="Y22">
        <f>HYPERLINK("https://klasma.github.io/Logging_0127/tillsynsmail/A 12305-2026 tillsynsbegäran mail.docx", "A 12305-2026")</f>
        <v/>
      </c>
      <c r="Z22">
        <f>HYPERLINK("https://klasma.github.io/Logging_0127/fåglar/A 12305-2026 prioriterade fågelarter.docx", "A 12305-2026")</f>
        <v/>
      </c>
    </row>
    <row r="23" ht="15" customHeight="1">
      <c r="A23" t="inlineStr">
        <is>
          <t>A 12590-2026</t>
        </is>
      </c>
      <c r="B23" s="1" t="n">
        <v>46090.73949074074</v>
      </c>
      <c r="C23" s="1" t="n">
        <v>46134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HYPERLINK("https://klasma.github.io/Logging_0127/artfynd/A 12590-2026 artfynd.xlsx", "A 12590-2026")</f>
        <v/>
      </c>
      <c r="T23">
        <f>HYPERLINK("https://klasma.github.io/Logging_0127/kartor/A 12590-2026 karta.png", "A 12590-2026")</f>
        <v/>
      </c>
      <c r="V23">
        <f>HYPERLINK("https://klasma.github.io/Logging_0127/klagomål/A 12590-2026 FSC-klagomål.docx", "A 12590-2026")</f>
        <v/>
      </c>
      <c r="W23">
        <f>HYPERLINK("https://klasma.github.io/Logging_0127/klagomålsmail/A 12590-2026 FSC-klagomål mail.docx", "A 12590-2026")</f>
        <v/>
      </c>
      <c r="X23">
        <f>HYPERLINK("https://klasma.github.io/Logging_0127/tillsyn/A 12590-2026 tillsynsbegäran.docx", "A 12590-2026")</f>
        <v/>
      </c>
      <c r="Y23">
        <f>HYPERLINK("https://klasma.github.io/Logging_0127/tillsynsmail/A 12590-2026 tillsynsbegäran mail.docx", "A 12590-2026")</f>
        <v/>
      </c>
      <c r="Z23">
        <f>HYPERLINK("https://klasma.github.io/Logging_0127/fåglar/A 12590-2026 prioriterade fågelarter.docx", "A 12590-2026")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46134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46134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46134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46134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46134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46134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46134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46134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46134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46134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46134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46134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46134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46134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46134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46134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46134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46134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46134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46134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46134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46134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46134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46134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46134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46134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46134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46134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46134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46134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46134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46134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46134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46134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46134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46134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15690-2023</t>
        </is>
      </c>
      <c r="B60" s="1" t="n">
        <v>45020</v>
      </c>
      <c r="C60" s="1" t="n">
        <v>46134</v>
      </c>
      <c r="D60" t="inlineStr">
        <is>
          <t>STOCKHOLMS LÄN</t>
        </is>
      </c>
      <c r="E60" t="inlineStr">
        <is>
          <t>BOTKYRKA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12306-2026</t>
        </is>
      </c>
      <c r="B61" s="1" t="n">
        <v>46087.57949074074</v>
      </c>
      <c r="C61" s="1" t="n">
        <v>46134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12294-2026</t>
        </is>
      </c>
      <c r="B62" s="1" t="n">
        <v>46087.55737268519</v>
      </c>
      <c r="C62" s="1" t="n">
        <v>46134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46134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46134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46134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46134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44586.57239583333</v>
      </c>
      <c r="C67" s="1" t="n">
        <v>46134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46134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46134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46134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46134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46134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61320-2024</t>
        </is>
      </c>
      <c r="B73" s="1" t="n">
        <v>45646.33262731481</v>
      </c>
      <c r="C73" s="1" t="n">
        <v>46134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30925-2023</t>
        </is>
      </c>
      <c r="B74" s="1" t="n">
        <v>45113</v>
      </c>
      <c r="C74" s="1" t="n">
        <v>46134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46134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46134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61242-2022</t>
        </is>
      </c>
      <c r="B77" s="1" t="n">
        <v>44915</v>
      </c>
      <c r="C77" s="1" t="n">
        <v>46134</v>
      </c>
      <c r="D77" t="inlineStr">
        <is>
          <t>STOCKHOLMS LÄN</t>
        </is>
      </c>
      <c r="E77" t="inlineStr">
        <is>
          <t>BOTKYRKA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46134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16142-2024</t>
        </is>
      </c>
      <c r="B79" s="1" t="n">
        <v>45406</v>
      </c>
      <c r="C79" s="1" t="n">
        <v>46134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2026-04-22T10:45:51Z</dcterms:created>
  <dcterms:modified xmlns:dcterms="http://purl.org/dc/terms/" xmlns:xsi="http://www.w3.org/2001/XMLSchema-instance" xsi:type="dcterms:W3CDTF">2026-04-22T10:45:51Z</dcterms:modified>
</cp:coreProperties>
</file>