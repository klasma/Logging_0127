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46297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46297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46297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46297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46297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46297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46297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46297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46297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46297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46297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46297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46297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46297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46297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46297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46297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46297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46297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46297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12305-2026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46087</v>
      </c>
      <c r="E25" s="1" t="n">
        <v>46297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HYPERLINK("https://klasma.github.io/Logging_0127/artfynd/A 12305-2026 artfynd.xlsx", "A 12305-2026")</f>
        <v/>
      </c>
      <c r="X25">
        <f>HYPERLINK("https://klasma.github.io/Logging_0127/kartor/A 12305-2026 karta.png", "A 12305-2026")</f>
        <v/>
      </c>
      <c r="Y25">
        <f>HYPERLINK("https://klasma.github.io/Logging_0127/kartor_geotiff/A 12305-2026 georefererad karta.tif", "A 12305-2026")</f>
        <v/>
      </c>
      <c r="AA25">
        <f>HYPERLINK("https://klasma.github.io/Logging_0127/klagomål/A 12305-2026 FSC-klagomål.docx", "A 12305-2026")</f>
        <v/>
      </c>
      <c r="AB25">
        <f>HYPERLINK("https://klasma.github.io/Logging_0127/klagomålsmail/A 12305-2026 FSC-klagomål mail.docx", "A 12305-2026")</f>
        <v/>
      </c>
      <c r="AC25">
        <f>HYPERLINK("https://klasma.github.io/Logging_0127/tillsyn/A 12305-2026 tillsynsbegäran.docx", "A 12305-2026")</f>
        <v/>
      </c>
      <c r="AD25">
        <f>HYPERLINK("https://klasma.github.io/Logging_0127/tillsynsmail/A 12305-2026 tillsynsbegäran mail.docx", "A 12305-2026")</f>
        <v/>
      </c>
      <c r="AE25">
        <f>HYPERLINK("https://klasma.github.io/Logging_0127/fåglar/A 12305-2026 prioriterade fågelarter.docx", "A 12305-2026")</f>
        <v/>
      </c>
    </row>
    <row r="26" ht="15" customHeight="1">
      <c r="A26" t="inlineStr">
        <is>
          <t>A 12590-2026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46297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hackspett</t>
        </is>
      </c>
      <c r="W26">
        <f>HYPERLINK("https://klasma.github.io/Logging_0127/artfynd/A 12590-2026 artfynd.xlsx", "A 12590-2026")</f>
        <v/>
      </c>
      <c r="X26">
        <f>HYPERLINK("https://klasma.github.io/Logging_0127/kartor/A 12590-2026 karta.png", "A 12590-2026")</f>
        <v/>
      </c>
      <c r="Y26">
        <f>HYPERLINK("https://klasma.github.io/Logging_0127/kartor_geotiff/A 12590-2026 georefererad karta.tif", "A 12590-2026")</f>
        <v/>
      </c>
      <c r="AA26">
        <f>HYPERLINK("https://klasma.github.io/Logging_0127/klagomål/A 12590-2026 FSC-klagomål.docx", "A 12590-2026")</f>
        <v/>
      </c>
      <c r="AB26">
        <f>HYPERLINK("https://klasma.github.io/Logging_0127/klagomålsmail/A 12590-2026 FSC-klagomål mail.docx", "A 12590-2026")</f>
        <v/>
      </c>
      <c r="AC26">
        <f>HYPERLINK("https://klasma.github.io/Logging_0127/tillsyn/A 12590-2026 tillsynsbegäran.docx", "A 12590-2026")</f>
        <v/>
      </c>
      <c r="AD26">
        <f>HYPERLINK("https://klasma.github.io/Logging_0127/tillsynsmail/A 12590-2026 tillsynsbegäran mail.docx", "A 12590-2026")</f>
        <v/>
      </c>
      <c r="AE26">
        <f>HYPERLINK("https://klasma.github.io/Logging_0127/fåglar/A 12590-2026 prioriterade fågelarter.docx", "A 12590-2026")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46297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46297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46297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46297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46297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46297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46297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46297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46297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46297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46297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46297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46297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46297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46297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46087</v>
      </c>
      <c r="E43" s="1" t="n">
        <v>46297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46297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46297</v>
      </c>
      <c r="F45" t="inlineStr">
        <is>
          <t>STOCKHOLMS LÄN</t>
        </is>
      </c>
      <c r="G45" t="inlineStr">
        <is>
          <t>BOTKYRKA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46297</v>
      </c>
      <c r="F46" t="inlineStr">
        <is>
          <t>STOCKHOLMS LÄN</t>
        </is>
      </c>
      <c r="G46" t="inlineStr">
        <is>
          <t>BOTKYRKA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46297</v>
      </c>
      <c r="F47" t="inlineStr">
        <is>
          <t>STOCKHOLMS LÄN</t>
        </is>
      </c>
      <c r="G47" t="inlineStr">
        <is>
          <t>BOTKYRKA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46297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46297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46297</v>
      </c>
      <c r="F50" t="inlineStr">
        <is>
          <t>STOCKHOLMS LÄN</t>
        </is>
      </c>
      <c r="G50" t="inlineStr">
        <is>
          <t>BOTKYRKA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46297</v>
      </c>
      <c r="F51" t="inlineStr">
        <is>
          <t>STOCKHOLMS LÄN</t>
        </is>
      </c>
      <c r="G51" t="inlineStr">
        <is>
          <t>BOTKYRKA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46297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46297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46297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46297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46297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46297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46297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46258</v>
      </c>
      <c r="E59" s="1" t="n">
        <v>46297</v>
      </c>
      <c r="F59" t="inlineStr">
        <is>
          <t>STOCKHOLMS LÄN</t>
        </is>
      </c>
      <c r="G59" t="inlineStr">
        <is>
          <t>BOTKYRKA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44599</v>
      </c>
      <c r="E60" s="1" t="n">
        <v>46297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45355</v>
      </c>
      <c r="E61" s="1" t="n">
        <v>46297</v>
      </c>
      <c r="F61" t="inlineStr">
        <is>
          <t>STOCKHOLMS LÄN</t>
        </is>
      </c>
      <c r="G61" t="inlineStr">
        <is>
          <t>BOTKYRKA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46297</v>
      </c>
      <c r="F62" t="inlineStr">
        <is>
          <t>STOCKHOLMS LÄN</t>
        </is>
      </c>
      <c r="G62" t="inlineStr">
        <is>
          <t>BOTKYRKA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46297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46297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46297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46297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46297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46297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46297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46297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46297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46297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2026-10-02T02:04:38Z</dcterms:created>
  <dcterms:modified xmlns:dcterms="http://purl.org/dc/terms/" xmlns:xsi="http://www.w3.org/2001/XMLSchema-instance" xsi:type="dcterms:W3CDTF">2026-10-02T02:04:38Z</dcterms:modified>
</cp:coreProperties>
</file>