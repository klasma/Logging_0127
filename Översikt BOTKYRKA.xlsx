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46092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46092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46092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46092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46092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46092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46092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46092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60406-2025</t>
        </is>
      </c>
      <c r="B10" s="1" t="n">
        <v>45995.43050925926</v>
      </c>
      <c r="C10" s="1" t="n">
        <v>46092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2.3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Mindre märgborre</t>
        </is>
      </c>
      <c r="S10">
        <f>HYPERLINK("https://klasma.github.io/Logging_0127/artfynd/A 60406-2025 artfynd.xlsx", "A 60406-2025")</f>
        <v/>
      </c>
      <c r="T10">
        <f>HYPERLINK("https://klasma.github.io/Logging_0127/kartor/A 60406-2025 karta.png", "A 60406-2025")</f>
        <v/>
      </c>
      <c r="V10">
        <f>HYPERLINK("https://klasma.github.io/Logging_0127/klagomål/A 60406-2025 FSC-klagomål.docx", "A 60406-2025")</f>
        <v/>
      </c>
      <c r="W10">
        <f>HYPERLINK("https://klasma.github.io/Logging_0127/klagomålsmail/A 60406-2025 FSC-klagomål mail.docx", "A 60406-2025")</f>
        <v/>
      </c>
      <c r="X10">
        <f>HYPERLINK("https://klasma.github.io/Logging_0127/tillsyn/A 60406-2025 tillsynsbegäran.docx", "A 60406-2025")</f>
        <v/>
      </c>
      <c r="Y10">
        <f>HYPERLINK("https://klasma.github.io/Logging_0127/tillsynsmail/A 60406-2025 tillsynsbegäran mail.docx", "A 60406-2025")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46092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46092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46092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46092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46092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46092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46092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12590-2026</t>
        </is>
      </c>
      <c r="B18" s="1" t="n">
        <v>46090.73949074074</v>
      </c>
      <c r="C18" s="1" t="n">
        <v>46092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HYPERLINK("https://klasma.github.io/Logging_0127/artfynd/A 12590-2026 artfynd.xlsx", "A 12590-2026")</f>
        <v/>
      </c>
      <c r="T18">
        <f>HYPERLINK("https://klasma.github.io/Logging_0127/kartor/A 12590-2026 karta.png", "A 12590-2026")</f>
        <v/>
      </c>
      <c r="V18">
        <f>HYPERLINK("https://klasma.github.io/Logging_0127/klagomål/A 12590-2026 FSC-klagomål.docx", "A 12590-2026")</f>
        <v/>
      </c>
      <c r="W18">
        <f>HYPERLINK("https://klasma.github.io/Logging_0127/klagomålsmail/A 12590-2026 FSC-klagomål mail.docx", "A 12590-2026")</f>
        <v/>
      </c>
      <c r="X18">
        <f>HYPERLINK("https://klasma.github.io/Logging_0127/tillsyn/A 12590-2026 tillsynsbegäran.docx", "A 12590-2026")</f>
        <v/>
      </c>
      <c r="Y18">
        <f>HYPERLINK("https://klasma.github.io/Logging_0127/tillsynsmail/A 12590-2026 tillsynsbegäran mail.docx", "A 12590-2026")</f>
        <v/>
      </c>
      <c r="Z18">
        <f>HYPERLINK("https://klasma.github.io/Logging_0127/fåglar/A 12590-2026 prioriterade fågelarter.docx", "A 12590-2026")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46092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46092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46092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27791-2021</t>
        </is>
      </c>
      <c r="B22" s="1" t="n">
        <v>44354</v>
      </c>
      <c r="C22" s="1" t="n">
        <v>46092</v>
      </c>
      <c r="D22" t="inlineStr">
        <is>
          <t>STOCKHOLMS LÄN</t>
        </is>
      </c>
      <c r="E22" t="inlineStr">
        <is>
          <t>BOTKYRKA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3681-2022</t>
        </is>
      </c>
      <c r="B23" s="1" t="n">
        <v>44586</v>
      </c>
      <c r="C23" s="1" t="n">
        <v>46092</v>
      </c>
      <c r="D23" t="inlineStr">
        <is>
          <t>STOCKHOLMS LÄN</t>
        </is>
      </c>
      <c r="E23" t="inlineStr">
        <is>
          <t>BOTKYRKA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48667-2022</t>
        </is>
      </c>
      <c r="B24" s="1" t="n">
        <v>44859</v>
      </c>
      <c r="C24" s="1" t="n">
        <v>46092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32828-2022</t>
        </is>
      </c>
      <c r="B25" s="1" t="n">
        <v>44784</v>
      </c>
      <c r="C25" s="1" t="n">
        <v>46092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43717-2021</t>
        </is>
      </c>
      <c r="B26" s="1" t="n">
        <v>44433.62546296296</v>
      </c>
      <c r="C26" s="1" t="n">
        <v>46092</v>
      </c>
      <c r="D26" t="inlineStr">
        <is>
          <t>STOCKHOLMS LÄN</t>
        </is>
      </c>
      <c r="E26" t="inlineStr">
        <is>
          <t>BOTKYRKA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46092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46092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20210-2021</t>
        </is>
      </c>
      <c r="B29" s="1" t="n">
        <v>44314</v>
      </c>
      <c r="C29" s="1" t="n">
        <v>46092</v>
      </c>
      <c r="D29" t="inlineStr">
        <is>
          <t>STOCKHOLMS LÄN</t>
        </is>
      </c>
      <c r="E29" t="inlineStr">
        <is>
          <t>BOTKYRKA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73772-2021</t>
        </is>
      </c>
      <c r="B30" s="1" t="n">
        <v>44552</v>
      </c>
      <c r="C30" s="1" t="n">
        <v>46092</v>
      </c>
      <c r="D30" t="inlineStr">
        <is>
          <t>STOCKHOLMS LÄN</t>
        </is>
      </c>
      <c r="E30" t="inlineStr">
        <is>
          <t>BOTKYRKA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46092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46092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46092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46092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46092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21285-2023</t>
        </is>
      </c>
      <c r="B36" s="1" t="n">
        <v>45062</v>
      </c>
      <c r="C36" s="1" t="n">
        <v>46092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46092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16142-2024</t>
        </is>
      </c>
      <c r="B38" s="1" t="n">
        <v>45406</v>
      </c>
      <c r="C38" s="1" t="n">
        <v>46092</v>
      </c>
      <c r="D38" t="inlineStr">
        <is>
          <t>STOCKHOLMS LÄN</t>
        </is>
      </c>
      <c r="E38" t="inlineStr">
        <is>
          <t>BOTKYRKA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46092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46092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46092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46092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46092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46092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46092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16483-2023</t>
        </is>
      </c>
      <c r="B46" s="1" t="n">
        <v>45029</v>
      </c>
      <c r="C46" s="1" t="n">
        <v>46092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45945-2025</t>
        </is>
      </c>
      <c r="B47" s="1" t="n">
        <v>45924</v>
      </c>
      <c r="C47" s="1" t="n">
        <v>46092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46092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46092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46092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46092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12294-2026</t>
        </is>
      </c>
      <c r="B52" s="1" t="n">
        <v>46087.55737268519</v>
      </c>
      <c r="C52" s="1" t="n">
        <v>46092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12306-2026</t>
        </is>
      </c>
      <c r="B53" s="1" t="n">
        <v>46087.57949074074</v>
      </c>
      <c r="C53" s="1" t="n">
        <v>46092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46092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12305-2026</t>
        </is>
      </c>
      <c r="B55" s="1" t="n">
        <v>46087.57827546296</v>
      </c>
      <c r="C55" s="1" t="n">
        <v>46092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8528-2024</t>
        </is>
      </c>
      <c r="B56" s="1" t="n">
        <v>45355.49099537037</v>
      </c>
      <c r="C56" s="1" t="n">
        <v>46092</v>
      </c>
      <c r="D56" t="inlineStr">
        <is>
          <t>STOCKHOLMS LÄN</t>
        </is>
      </c>
      <c r="E56" t="inlineStr">
        <is>
          <t>BOTKYRKA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45869-2022</t>
        </is>
      </c>
      <c r="B57" s="1" t="n">
        <v>44844</v>
      </c>
      <c r="C57" s="1" t="n">
        <v>46092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46092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46092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46092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46092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46092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48656-2022</t>
        </is>
      </c>
      <c r="B63" s="1" t="n">
        <v>44859.43993055556</v>
      </c>
      <c r="C63" s="1" t="n">
        <v>46092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46092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46092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16149-2024</t>
        </is>
      </c>
      <c r="B66" s="1" t="n">
        <v>45406.56984953704</v>
      </c>
      <c r="C66" s="1" t="n">
        <v>46092</v>
      </c>
      <c r="D66" t="inlineStr">
        <is>
          <t>STOCKHOLMS LÄN</t>
        </is>
      </c>
      <c r="E66" t="inlineStr">
        <is>
          <t>BOTKYRKA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28983-2024</t>
        </is>
      </c>
      <c r="B67" s="1" t="n">
        <v>45481.47731481482</v>
      </c>
      <c r="C67" s="1" t="n">
        <v>46092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46092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25217-2024</t>
        </is>
      </c>
      <c r="B69" s="1" t="n">
        <v>45462</v>
      </c>
      <c r="C69" s="1" t="n">
        <v>46092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46092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46092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46092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16145-2024</t>
        </is>
      </c>
      <c r="B73" s="1" t="n">
        <v>45406.56561342593</v>
      </c>
      <c r="C73" s="1" t="n">
        <v>46092</v>
      </c>
      <c r="D73" t="inlineStr">
        <is>
          <t>STOCKHOLMS LÄN</t>
        </is>
      </c>
      <c r="E73" t="inlineStr">
        <is>
          <t>BOTKYRKA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46092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46092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6059-2022</t>
        </is>
      </c>
      <c r="B76" s="1" t="n">
        <v>44599</v>
      </c>
      <c r="C76" s="1" t="n">
        <v>46092</v>
      </c>
      <c r="D76" t="inlineStr">
        <is>
          <t>STOCKHOLMS LÄN</t>
        </is>
      </c>
      <c r="E76" t="inlineStr">
        <is>
          <t>BOTKYRKA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37095-2021</t>
        </is>
      </c>
      <c r="B77" s="1" t="n">
        <v>44395</v>
      </c>
      <c r="C77" s="1" t="n">
        <v>46092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2026-03-11T11:20:21Z</dcterms:created>
  <dcterms:modified xmlns:dcterms="http://purl.org/dc/terms/" xmlns:xsi="http://www.w3.org/2001/XMLSchema-instance" xsi:type="dcterms:W3CDTF">2026-03-11T11:20:21Z</dcterms:modified>
</cp:coreProperties>
</file>