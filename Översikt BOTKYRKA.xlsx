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25306-2026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46176</v>
      </c>
      <c r="E2" s="1" t="n">
        <v>46326</v>
      </c>
      <c r="F2" t="inlineStr">
        <is>
          <t>STOCKHOLMS LÄN</t>
        </is>
      </c>
      <c r="G2" t="inlineStr">
        <is>
          <t>BOTKYRKA</t>
        </is>
      </c>
      <c r="I2" t="n">
        <v>3.2</v>
      </c>
      <c r="J2" t="n">
        <v>12</v>
      </c>
      <c r="K2" t="n">
        <v>2</v>
      </c>
      <c r="L2" t="n">
        <v>7</v>
      </c>
      <c r="M2" t="n">
        <v>1</v>
      </c>
      <c r="N2" t="n">
        <v>0</v>
      </c>
      <c r="O2" t="n">
        <v>0</v>
      </c>
      <c r="P2" t="n">
        <v>0</v>
      </c>
      <c r="Q2" t="n">
        <v>8</v>
      </c>
      <c r="R2" t="n">
        <v>1</v>
      </c>
      <c r="S2" t="n">
        <v>18</v>
      </c>
      <c r="T2" t="n">
        <v>51</v>
      </c>
      <c r="U2" t="n">
        <v>51</v>
      </c>
      <c r="V2" s="2" t="inlineStr">
        <is>
          <t>Stare
Fransfladdermus
Grönsångare
Gulsparv
Nordfladdermus
Rödvingetrast
Slåtterfibbla
Tallticka
Blåmossa
Mindre märgborre
Kransmossa
Liljekonvalj
Spillkråka
Tofsmes
Dvärgpipistrell
Gröngöling
Större brunfladdermus
Vattenfladdermus</t>
        </is>
      </c>
      <c r="W2">
        <f>HYPERLINK("https://klasma.github.io/Logging_0127/artfynd/A 25306-2026 artfynd.xlsx", "A 25306-2026")</f>
        <v/>
      </c>
      <c r="X2">
        <f>HYPERLINK("https://klasma.github.io/Logging_0127/kartor/A 25306-2026 karta.png", "A 25306-2026")</f>
        <v/>
      </c>
      <c r="Y2">
        <f>HYPERLINK("https://klasma.github.io/Logging_0127/kartor_geotiff/A 25306-2026 georefererad karta.tif", "A 25306-2026")</f>
        <v/>
      </c>
      <c r="AA2">
        <f>HYPERLINK("https://klasma.github.io/Logging_0127/klagomål/A 25306-2026 FSC-klagomål.docx", "A 25306-2026")</f>
        <v/>
      </c>
      <c r="AB2">
        <f>HYPERLINK("https://klasma.github.io/Logging_0127/klagomålsmail/A 25306-2026 FSC-klagomål mail.docx", "A 25306-2026")</f>
        <v/>
      </c>
      <c r="AC2">
        <f>HYPERLINK("https://klasma.github.io/Logging_0127/tillsyn/A 25306-2026 tillsynsbegäran.docx", "A 25306-2026")</f>
        <v/>
      </c>
      <c r="AD2">
        <f>HYPERLINK("https://klasma.github.io/Logging_0127/tillsynsmail/A 25306-2026 tillsynsbegäran mail.docx", "A 25306-2026")</f>
        <v/>
      </c>
      <c r="AE2">
        <f>HYPERLINK("https://klasma.github.io/Logging_0127/fåglar/A 25306-2026 prioriterade fågelarter.docx", "A 25306-2026")</f>
        <v/>
      </c>
    </row>
    <row r="3" ht="15" customHeight="1">
      <c r="A3" t="inlineStr">
        <is>
          <t>A 24599-2022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44727</v>
      </c>
      <c r="E3" s="1" t="n">
        <v>46326</v>
      </c>
      <c r="F3" t="inlineStr">
        <is>
          <t>STOCKHOLMS LÄN</t>
        </is>
      </c>
      <c r="G3" t="inlineStr">
        <is>
          <t>BOTKYRKA</t>
        </is>
      </c>
      <c r="I3" t="n">
        <v>1.5</v>
      </c>
      <c r="J3" t="n">
        <v>3</v>
      </c>
      <c r="K3" t="n">
        <v>3</v>
      </c>
      <c r="L3" t="n">
        <v>2</v>
      </c>
      <c r="M3" t="n">
        <v>2</v>
      </c>
      <c r="N3" t="n">
        <v>0</v>
      </c>
      <c r="O3" t="n">
        <v>0</v>
      </c>
      <c r="P3" t="n">
        <v>0</v>
      </c>
      <c r="Q3" t="n">
        <v>4</v>
      </c>
      <c r="R3" t="n">
        <v>2</v>
      </c>
      <c r="S3" t="n">
        <v>10</v>
      </c>
      <c r="T3" t="n">
        <v>11</v>
      </c>
      <c r="U3" t="n">
        <v>3</v>
      </c>
      <c r="V3" s="2" t="inlineStr">
        <is>
          <t>Mindre bastardsvärmare
Sexfläckig bastardsvärmare
Almsnabbvinge
Mindre tåtelsmygare
Igelkottsröksvamp
Mandelriska
Sotriska
Mattlummer
Vanlig groda
Vanlig padda</t>
        </is>
      </c>
      <c r="W3">
        <f>HYPERLINK("https://klasma.github.io/Logging_0127/artfynd/A 24599-2022 artfynd.xlsx", "A 24599-2022")</f>
        <v/>
      </c>
      <c r="X3">
        <f>HYPERLINK("https://klasma.github.io/Logging_0127/kartor/A 24599-2022 karta.png", "A 24599-2022")</f>
        <v/>
      </c>
      <c r="Y3">
        <f>HYPERLINK("https://klasma.github.io/Logging_0127/kartor_geotiff/A 24599-2022 georefererad karta.tif", "A 24599-2022")</f>
        <v/>
      </c>
      <c r="AA3">
        <f>HYPERLINK("https://klasma.github.io/Logging_0127/klagomål/A 24599-2022 FSC-klagomål.docx", "A 24599-2022")</f>
        <v/>
      </c>
      <c r="AB3">
        <f>HYPERLINK("https://klasma.github.io/Logging_0127/klagomålsmail/A 24599-2022 FSC-klagomål mail.docx", "A 24599-2022")</f>
        <v/>
      </c>
      <c r="AC3">
        <f>HYPERLINK("https://klasma.github.io/Logging_0127/tillsyn/A 24599-2022 tillsynsbegäran.docx", "A 24599-2022")</f>
        <v/>
      </c>
      <c r="AD3">
        <f>HYPERLINK("https://klasma.github.io/Logging_0127/tillsynsmail/A 24599-2022 tillsynsbegäran mail.docx", "A 24599-2022")</f>
        <v/>
      </c>
    </row>
    <row r="4" ht="15" customHeight="1">
      <c r="A4" t="inlineStr">
        <is>
          <t>A 695-2023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44930</v>
      </c>
      <c r="E4" s="1" t="n">
        <v>46326</v>
      </c>
      <c r="F4" t="inlineStr">
        <is>
          <t>STOCKHOLMS LÄN</t>
        </is>
      </c>
      <c r="G4" t="inlineStr">
        <is>
          <t>BOTKYRKA</t>
        </is>
      </c>
      <c r="I4" t="n">
        <v>13.6</v>
      </c>
      <c r="J4" t="n">
        <v>8</v>
      </c>
      <c r="K4" t="n">
        <v>0</v>
      </c>
      <c r="L4" t="n">
        <v>5</v>
      </c>
      <c r="M4" t="n">
        <v>0</v>
      </c>
      <c r="N4" t="n">
        <v>0</v>
      </c>
      <c r="O4" t="n">
        <v>0</v>
      </c>
      <c r="P4" t="n">
        <v>0</v>
      </c>
      <c r="Q4" t="n">
        <v>5</v>
      </c>
      <c r="R4" t="n">
        <v>0</v>
      </c>
      <c r="S4" t="n">
        <v>10</v>
      </c>
      <c r="T4" t="n">
        <v>18</v>
      </c>
      <c r="U4" t="n">
        <v>18</v>
      </c>
      <c r="V4" s="2" t="inlineStr">
        <is>
          <t>Brunlångöra
Dropptaggsvamp
Gulsparv
Motaggsvamp
Nordfladdermus
Spillkråka
Dvärgpipistrell
Kungsfågel
Större brunfladdermus
Vattenfladdermus</t>
        </is>
      </c>
      <c r="W4">
        <f>HYPERLINK("https://klasma.github.io/Logging_0127/artfynd/A 695-2023 artfynd.xlsx", "A 695-2023")</f>
        <v/>
      </c>
      <c r="X4">
        <f>HYPERLINK("https://klasma.github.io/Logging_0127/kartor/A 695-2023 karta.png", "A 695-2023")</f>
        <v/>
      </c>
      <c r="Y4">
        <f>HYPERLINK("https://klasma.github.io/Logging_0127/kartor_geotiff/A 695-2023 georefererad karta.tif", "A 695-2023")</f>
        <v/>
      </c>
      <c r="AA4">
        <f>HYPERLINK("https://klasma.github.io/Logging_0127/klagomål/A 695-2023 FSC-klagomål.docx", "A 695-2023")</f>
        <v/>
      </c>
      <c r="AB4">
        <f>HYPERLINK("https://klasma.github.io/Logging_0127/klagomålsmail/A 695-2023 FSC-klagomål mail.docx", "A 695-2023")</f>
        <v/>
      </c>
      <c r="AC4">
        <f>HYPERLINK("https://klasma.github.io/Logging_0127/tillsyn/A 695-2023 tillsynsbegäran.docx", "A 695-2023")</f>
        <v/>
      </c>
      <c r="AD4">
        <f>HYPERLINK("https://klasma.github.io/Logging_0127/tillsynsmail/A 695-2023 tillsynsbegäran mail.docx", "A 695-2023")</f>
        <v/>
      </c>
      <c r="AE4">
        <f>HYPERLINK("https://klasma.github.io/Logging_0127/fåglar/A 695-2023 prioriterade fågelarter.docx", "A 695-2023")</f>
        <v/>
      </c>
    </row>
    <row r="5" ht="15" customHeight="1">
      <c r="A5" t="inlineStr">
        <is>
          <t>A 48514-2025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45936</v>
      </c>
      <c r="E5" s="1" t="n">
        <v>46326</v>
      </c>
      <c r="F5" t="inlineStr">
        <is>
          <t>STOCKHOLMS LÄN</t>
        </is>
      </c>
      <c r="G5" t="inlineStr">
        <is>
          <t>BOTKYRKA</t>
        </is>
      </c>
      <c r="H5" t="inlineStr">
        <is>
          <t>Övriga Aktiebolag</t>
        </is>
      </c>
      <c r="I5" t="n">
        <v>17.1</v>
      </c>
      <c r="J5" t="n">
        <v>2</v>
      </c>
      <c r="K5" t="n">
        <v>1</v>
      </c>
      <c r="L5" t="n">
        <v>5</v>
      </c>
      <c r="M5" t="n">
        <v>3</v>
      </c>
      <c r="N5" t="n">
        <v>0</v>
      </c>
      <c r="O5" t="n">
        <v>0</v>
      </c>
      <c r="P5" t="n">
        <v>0</v>
      </c>
      <c r="Q5" t="n">
        <v>8</v>
      </c>
      <c r="R5" t="n">
        <v>3</v>
      </c>
      <c r="S5" t="n">
        <v>9</v>
      </c>
      <c r="T5" t="n">
        <v>91</v>
      </c>
      <c r="U5" t="n">
        <v>89</v>
      </c>
      <c r="V5" s="2" t="inlineStr">
        <is>
          <t>Hasselsnok
Igelkott
Lammticka
Motaggsvamp
Skarp dropptaggsvamp
Svartvit taggsvamp
Tallticka
Talltita
Mindre märgborre</t>
        </is>
      </c>
      <c r="W5">
        <f>HYPERLINK("https://klasma.github.io/Logging_0127/artfynd/A 48514-2025 artfynd.xlsx", "A 48514-2025")</f>
        <v/>
      </c>
      <c r="X5">
        <f>HYPERLINK("https://klasma.github.io/Logging_0127/kartor/A 48514-2025 karta.png", "A 48514-2025")</f>
        <v/>
      </c>
      <c r="Y5">
        <f>HYPERLINK("https://klasma.github.io/Logging_0127/kartor_geotiff/A 48514-2025 georefererad karta.tif", "A 48514-2025")</f>
        <v/>
      </c>
      <c r="AA5">
        <f>HYPERLINK("https://klasma.github.io/Logging_0127/klagomål/A 48514-2025 FSC-klagomål.docx", "A 48514-2025")</f>
        <v/>
      </c>
      <c r="AB5">
        <f>HYPERLINK("https://klasma.github.io/Logging_0127/klagomålsmail/A 48514-2025 FSC-klagomål mail.docx", "A 48514-2025")</f>
        <v/>
      </c>
      <c r="AC5">
        <f>HYPERLINK("https://klasma.github.io/Logging_0127/tillsyn/A 48514-2025 tillsynsbegäran.docx", "A 48514-2025")</f>
        <v/>
      </c>
      <c r="AD5">
        <f>HYPERLINK("https://klasma.github.io/Logging_0127/tillsynsmail/A 48514-2025 tillsynsbegäran mail.docx", "A 48514-2025")</f>
        <v/>
      </c>
      <c r="AE5">
        <f>HYPERLINK("https://klasma.github.io/Logging_0127/fåglar/A 48514-2025 prioriterade fågelarter.docx", "A 48514-2025")</f>
        <v/>
      </c>
    </row>
    <row r="6" ht="15" customHeight="1">
      <c r="A6" t="inlineStr">
        <is>
          <t>A 22390-2026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46154</v>
      </c>
      <c r="E6" s="1" t="n">
        <v>46326</v>
      </c>
      <c r="F6" t="inlineStr">
        <is>
          <t>STOCKHOLMS LÄN</t>
        </is>
      </c>
      <c r="G6" t="inlineStr">
        <is>
          <t>BOTKYRKA</t>
        </is>
      </c>
      <c r="I6" t="n">
        <v>6.9</v>
      </c>
      <c r="J6" t="n">
        <v>9</v>
      </c>
      <c r="K6" t="n">
        <v>0</v>
      </c>
      <c r="L6" t="n">
        <v>4</v>
      </c>
      <c r="M6" t="n">
        <v>0</v>
      </c>
      <c r="N6" t="n">
        <v>0</v>
      </c>
      <c r="O6" t="n">
        <v>0</v>
      </c>
      <c r="P6" t="n">
        <v>0</v>
      </c>
      <c r="Q6" t="n">
        <v>4</v>
      </c>
      <c r="R6" t="n">
        <v>0</v>
      </c>
      <c r="S6" t="n">
        <v>9</v>
      </c>
      <c r="T6" t="n">
        <v>16</v>
      </c>
      <c r="U6" t="n">
        <v>0</v>
      </c>
      <c r="V6" s="2" t="inlineStr">
        <is>
          <t>Duvhök
Järnsparv
Rödvingetrast
Sparvuggla
Spillkråka
Fjällvråk
Gröngöling
Kungsfågel
Svartvit flugsnappare</t>
        </is>
      </c>
      <c r="W6">
        <f>HYPERLINK("https://klasma.github.io/Logging_0127/artfynd/A 22390-2026 artfynd.xlsx", "A 22390-2026")</f>
        <v/>
      </c>
      <c r="X6">
        <f>HYPERLINK("https://klasma.github.io/Logging_0127/kartor/A 22390-2026 karta.png", "A 22390-2026")</f>
        <v/>
      </c>
      <c r="Y6">
        <f>HYPERLINK("https://klasma.github.io/Logging_0127/kartor_geotiff/A 22390-2026 georefererad karta.tif", "A 22390-2026")</f>
        <v/>
      </c>
      <c r="AA6">
        <f>HYPERLINK("https://klasma.github.io/Logging_0127/klagomål/A 22390-2026 FSC-klagomål.docx", "A 22390-2026")</f>
        <v/>
      </c>
      <c r="AB6">
        <f>HYPERLINK("https://klasma.github.io/Logging_0127/klagomålsmail/A 22390-2026 FSC-klagomål mail.docx", "A 22390-2026")</f>
        <v/>
      </c>
      <c r="AC6">
        <f>HYPERLINK("https://klasma.github.io/Logging_0127/tillsyn/A 22390-2026 tillsynsbegäran.docx", "A 22390-2026")</f>
        <v/>
      </c>
      <c r="AD6">
        <f>HYPERLINK("https://klasma.github.io/Logging_0127/tillsynsmail/A 22390-2026 tillsynsbegäran mail.docx", "A 22390-2026")</f>
        <v/>
      </c>
      <c r="AE6">
        <f>HYPERLINK("https://klasma.github.io/Logging_0127/fåglar/A 22390-2026 prioriterade fågelarter.docx", "A 22390-2026")</f>
        <v/>
      </c>
    </row>
    <row r="7" ht="15" customHeight="1">
      <c r="A7" t="inlineStr">
        <is>
          <t>S 254-2025</t>
        </is>
      </c>
      <c r="B7" t="inlineStr">
        <is>
          <t>samrådsanmälan</t>
        </is>
      </c>
      <c r="C7" t="inlineStr">
        <is>
          <t>Annan skogsbruksåtgärd</t>
        </is>
      </c>
      <c r="D7" s="1" t="n">
        <v>45684</v>
      </c>
      <c r="E7" s="1" t="n">
        <v>46326</v>
      </c>
      <c r="F7" t="inlineStr">
        <is>
          <t>STOCKHOLMS LÄN</t>
        </is>
      </c>
      <c r="G7" t="inlineStr">
        <is>
          <t>BOTKYRKA</t>
        </is>
      </c>
      <c r="I7" t="n">
        <v>4.5</v>
      </c>
      <c r="J7" t="n">
        <v>3</v>
      </c>
      <c r="K7" t="n">
        <v>4</v>
      </c>
      <c r="L7" t="n">
        <v>4</v>
      </c>
      <c r="M7" t="n">
        <v>0</v>
      </c>
      <c r="N7" t="n">
        <v>0</v>
      </c>
      <c r="O7" t="n">
        <v>0</v>
      </c>
      <c r="P7" t="n">
        <v>0</v>
      </c>
      <c r="Q7" t="n">
        <v>4</v>
      </c>
      <c r="R7" t="n">
        <v>0</v>
      </c>
      <c r="S7" t="n">
        <v>9</v>
      </c>
      <c r="T7" t="n">
        <v>13</v>
      </c>
      <c r="U7" t="n">
        <v>0</v>
      </c>
      <c r="V7" s="2" t="inlineStr">
        <is>
          <t>Fyrflikig jordstjärna
Orange taggsvamp
Skarp dropptaggsvamp
Talltita
Björksplintborre
Grön sköldmossa
Jättesvampmal
Rävticka
Mattlummer</t>
        </is>
      </c>
      <c r="W7">
        <f>HYPERLINK("https://klasma.github.io/Logging_0127/artfynd/S 254-2025 artfynd.xlsx", "S 254-2025")</f>
        <v/>
      </c>
      <c r="X7">
        <f>HYPERLINK("https://klasma.github.io/Logging_0127/kartor/S 254-2025 karta.png", "S 254-2025")</f>
        <v/>
      </c>
      <c r="Y7">
        <f>HYPERLINK("https://klasma.github.io/Logging_0127/kartor_geotiff/S 254-2025 georefererad karta.tif", "S 254-2025")</f>
        <v/>
      </c>
      <c r="AA7">
        <f>HYPERLINK("https://klasma.github.io/Logging_0127/klagomål/S 254-2025 FSC-klagomål.docx", "S 254-2025")</f>
        <v/>
      </c>
      <c r="AB7">
        <f>HYPERLINK("https://klasma.github.io/Logging_0127/klagomålsmail/S 254-2025 FSC-klagomål mail.docx", "S 254-2025")</f>
        <v/>
      </c>
      <c r="AC7">
        <f>HYPERLINK("https://klasma.github.io/Logging_0127/tillsyn/S 254-2025 tillsynsbegäran.docx", "S 254-2025")</f>
        <v/>
      </c>
      <c r="AD7">
        <f>HYPERLINK("https://klasma.github.io/Logging_0127/tillsynsmail/S 254-2025 tillsynsbegäran mail.docx", "S 254-2025")</f>
        <v/>
      </c>
      <c r="AE7">
        <f>HYPERLINK("https://klasma.github.io/Logging_0127/fåglar/S 254-2025 prioriterade fågelarter.docx", "S 254-2025")</f>
        <v/>
      </c>
    </row>
    <row r="8" ht="15" customHeight="1">
      <c r="A8" t="inlineStr">
        <is>
          <t>A 12818-2026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46092</v>
      </c>
      <c r="E8" s="1" t="n">
        <v>46326</v>
      </c>
      <c r="F8" t="inlineStr">
        <is>
          <t>STOCKHOLMS LÄN</t>
        </is>
      </c>
      <c r="G8" t="inlineStr">
        <is>
          <t>BOTKYRKA</t>
        </is>
      </c>
      <c r="H8" t="inlineStr">
        <is>
          <t>Övriga Aktiebolag</t>
        </is>
      </c>
      <c r="I8" t="n">
        <v>0.9</v>
      </c>
      <c r="J8" t="n">
        <v>3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8</v>
      </c>
      <c r="T8" t="n">
        <v>14</v>
      </c>
      <c r="U8" t="n">
        <v>4</v>
      </c>
      <c r="V8" s="2" t="inlineStr">
        <is>
          <t>Motaggsvamp
Vintertagging
Blomkålssvamp
Blåmossa
Grovticka
Nattskärra
Tofsmes
Kungsfågel</t>
        </is>
      </c>
      <c r="W8">
        <f>HYPERLINK("https://klasma.github.io/Logging_0127/artfynd/A 12818-2026 artfynd.xlsx", "A 12818-2026")</f>
        <v/>
      </c>
      <c r="X8">
        <f>HYPERLINK("https://klasma.github.io/Logging_0127/kartor/A 12818-2026 karta.png", "A 12818-2026")</f>
        <v/>
      </c>
      <c r="Y8">
        <f>HYPERLINK("https://klasma.github.io/Logging_0127/kartor_geotiff/A 12818-2026 georefererad karta.tif", "A 12818-2026")</f>
        <v/>
      </c>
      <c r="AA8">
        <f>HYPERLINK("https://klasma.github.io/Logging_0127/klagomål/A 12818-2026 FSC-klagomål.docx", "A 12818-2026")</f>
        <v/>
      </c>
      <c r="AB8">
        <f>HYPERLINK("https://klasma.github.io/Logging_0127/klagomålsmail/A 12818-2026 FSC-klagomål mail.docx", "A 12818-2026")</f>
        <v/>
      </c>
      <c r="AC8">
        <f>HYPERLINK("https://klasma.github.io/Logging_0127/tillsyn/A 12818-2026 tillsynsbegäran.docx", "A 12818-2026")</f>
        <v/>
      </c>
      <c r="AD8">
        <f>HYPERLINK("https://klasma.github.io/Logging_0127/tillsynsmail/A 12818-2026 tillsynsbegäran mail.docx", "A 12818-2026")</f>
        <v/>
      </c>
      <c r="AE8">
        <f>HYPERLINK("https://klasma.github.io/Logging_0127/fåglar/A 12818-2026 prioriterade fågelarter.docx", "A 12818-2026")</f>
        <v/>
      </c>
    </row>
    <row r="9" ht="15" customHeight="1">
      <c r="A9" t="inlineStr">
        <is>
          <t>A 60416-2025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45995</v>
      </c>
      <c r="E9" s="1" t="n">
        <v>46326</v>
      </c>
      <c r="F9" t="inlineStr">
        <is>
          <t>STOCKHOLMS LÄN</t>
        </is>
      </c>
      <c r="G9" t="inlineStr">
        <is>
          <t>BOTKYRKA</t>
        </is>
      </c>
      <c r="H9" t="inlineStr">
        <is>
          <t>Övriga Aktiebolag</t>
        </is>
      </c>
      <c r="I9" t="n">
        <v>1.9</v>
      </c>
      <c r="J9" t="n">
        <v>5</v>
      </c>
      <c r="K9" t="n">
        <v>1</v>
      </c>
      <c r="L9" t="n">
        <v>4</v>
      </c>
      <c r="M9" t="n">
        <v>0</v>
      </c>
      <c r="N9" t="n">
        <v>0</v>
      </c>
      <c r="O9" t="n">
        <v>0</v>
      </c>
      <c r="P9" t="n">
        <v>0</v>
      </c>
      <c r="Q9" t="n">
        <v>4</v>
      </c>
      <c r="R9" t="n">
        <v>0</v>
      </c>
      <c r="S9" t="n">
        <v>7</v>
      </c>
      <c r="T9" t="n">
        <v>18</v>
      </c>
      <c r="U9" t="n">
        <v>17</v>
      </c>
      <c r="V9" s="2" t="inlineStr">
        <is>
          <t>Entita
Mindre hackspett
Tallticka
Talltita
Mindre märgborre
Spillkråka
Gröngöling</t>
        </is>
      </c>
      <c r="W9">
        <f>HYPERLINK("https://klasma.github.io/Logging_0127/artfynd/A 60416-2025 artfynd.xlsx", "A 60416-2025")</f>
        <v/>
      </c>
      <c r="X9">
        <f>HYPERLINK("https://klasma.github.io/Logging_0127/kartor/A 60416-2025 karta.png", "A 60416-2025")</f>
        <v/>
      </c>
      <c r="Y9">
        <f>HYPERLINK("https://klasma.github.io/Logging_0127/kartor_geotiff/A 60416-2025 georefererad karta.tif", "A 60416-2025")</f>
        <v/>
      </c>
      <c r="AA9">
        <f>HYPERLINK("https://klasma.github.io/Logging_0127/klagomål/A 60416-2025 FSC-klagomål.docx", "A 60416-2025")</f>
        <v/>
      </c>
      <c r="AB9">
        <f>HYPERLINK("https://klasma.github.io/Logging_0127/klagomålsmail/A 60416-2025 FSC-klagomål mail.docx", "A 60416-2025")</f>
        <v/>
      </c>
      <c r="AC9">
        <f>HYPERLINK("https://klasma.github.io/Logging_0127/tillsyn/A 60416-2025 tillsynsbegäran.docx", "A 60416-2025")</f>
        <v/>
      </c>
      <c r="AD9">
        <f>HYPERLINK("https://klasma.github.io/Logging_0127/tillsynsmail/A 60416-2025 tillsynsbegäran mail.docx", "A 60416-2025")</f>
        <v/>
      </c>
      <c r="AE9">
        <f>HYPERLINK("https://klasma.github.io/Logging_0127/fåglar/A 60416-2025 prioriterade fågelarter.docx", "A 60416-2025")</f>
        <v/>
      </c>
    </row>
    <row r="10" ht="15" customHeight="1">
      <c r="A10" t="inlineStr">
        <is>
          <t>A 33801-2025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45842</v>
      </c>
      <c r="E10" s="1" t="n">
        <v>46326</v>
      </c>
      <c r="F10" t="inlineStr">
        <is>
          <t>STOCKHOLMS LÄN</t>
        </is>
      </c>
      <c r="G10" t="inlineStr">
        <is>
          <t>BOTKYRKA</t>
        </is>
      </c>
      <c r="I10" t="n">
        <v>1.3</v>
      </c>
      <c r="J10" t="n">
        <v>0</v>
      </c>
      <c r="K10" t="n">
        <v>5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6</v>
      </c>
      <c r="T10" t="n">
        <v>6</v>
      </c>
      <c r="U10" t="n">
        <v>1</v>
      </c>
      <c r="V10" s="2" t="inlineStr">
        <is>
          <t>Parkhättemossa
Fällmossa
Guldlockmossa
Stenporella
Strutbräken
Trubbfjädermossa</t>
        </is>
      </c>
      <c r="W10">
        <f>HYPERLINK("https://klasma.github.io/Logging_0127/artfynd/A 33801-2025 artfynd.xlsx", "A 33801-2025")</f>
        <v/>
      </c>
      <c r="X10">
        <f>HYPERLINK("https://klasma.github.io/Logging_0127/kartor/A 33801-2025 karta.png", "A 33801-2025")</f>
        <v/>
      </c>
      <c r="Y10">
        <f>HYPERLINK("https://klasma.github.io/Logging_0127/kartor_geotiff/A 33801-2025 georefererad karta.tif", "A 33801-2025")</f>
        <v/>
      </c>
      <c r="AA10">
        <f>HYPERLINK("https://klasma.github.io/Logging_0127/klagomål/A 33801-2025 FSC-klagomål.docx", "A 33801-2025")</f>
        <v/>
      </c>
      <c r="AB10">
        <f>HYPERLINK("https://klasma.github.io/Logging_0127/klagomålsmail/A 33801-2025 FSC-klagomål mail.docx", "A 33801-2025")</f>
        <v/>
      </c>
      <c r="AC10">
        <f>HYPERLINK("https://klasma.github.io/Logging_0127/tillsyn/A 33801-2025 tillsynsbegäran.docx", "A 33801-2025")</f>
        <v/>
      </c>
      <c r="AD10">
        <f>HYPERLINK("https://klasma.github.io/Logging_0127/tillsynsmail/A 33801-2025 tillsynsbegäran mail.docx", "A 33801-2025")</f>
        <v/>
      </c>
    </row>
    <row r="11" ht="15" customHeight="1">
      <c r="A11" t="inlineStr">
        <is>
          <t>S 1039-2025</t>
        </is>
      </c>
      <c r="B11" t="inlineStr">
        <is>
          <t>samrådsanmälan</t>
        </is>
      </c>
      <c r="C11" t="inlineStr">
        <is>
          <t>Annan skogsbruksåtgärd</t>
        </is>
      </c>
      <c r="D11" s="1" t="n">
        <v>45747</v>
      </c>
      <c r="E11" s="1" t="n">
        <v>46326</v>
      </c>
      <c r="F11" t="inlineStr">
        <is>
          <t>STOCKHOLMS LÄN</t>
        </is>
      </c>
      <c r="G11" t="inlineStr">
        <is>
          <t>BOTKYRKA</t>
        </is>
      </c>
      <c r="I11" t="n">
        <v>1.1</v>
      </c>
      <c r="J11" t="n">
        <v>0</v>
      </c>
      <c r="K11" t="n">
        <v>0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  <c r="Q11" t="n">
        <v>5</v>
      </c>
      <c r="R11" t="n">
        <v>0</v>
      </c>
      <c r="S11" t="n">
        <v>5</v>
      </c>
      <c r="T11" t="n">
        <v>8</v>
      </c>
      <c r="U11" t="n">
        <v>0</v>
      </c>
      <c r="V11" s="2" t="inlineStr">
        <is>
          <t>Fjällig taggsvamp s.str.
Orange taggsvamp
Skarp dropptaggsvamp
Tallticka
Ullticka</t>
        </is>
      </c>
      <c r="W11">
        <f>HYPERLINK("https://klasma.github.io/Logging_0127/artfynd/S 1039-2025 artfynd.xlsx", "S 1039-2025")</f>
        <v/>
      </c>
      <c r="X11">
        <f>HYPERLINK("https://klasma.github.io/Logging_0127/kartor/S 1039-2025 karta.png", "S 1039-2025")</f>
        <v/>
      </c>
      <c r="Y11">
        <f>HYPERLINK("https://klasma.github.io/Logging_0127/kartor_geotiff/S 1039-2025 georefererad karta.tif", "S 1039-2025")</f>
        <v/>
      </c>
      <c r="AA11">
        <f>HYPERLINK("https://klasma.github.io/Logging_0127/klagomål/S 1039-2025 FSC-klagomål.docx", "S 1039-2025")</f>
        <v/>
      </c>
      <c r="AB11">
        <f>HYPERLINK("https://klasma.github.io/Logging_0127/klagomålsmail/S 1039-2025 FSC-klagomål mail.docx", "S 1039-2025")</f>
        <v/>
      </c>
      <c r="AC11">
        <f>HYPERLINK("https://klasma.github.io/Logging_0127/tillsyn/S 1039-2025 tillsynsbegäran.docx", "S 1039-2025")</f>
        <v/>
      </c>
      <c r="AD11">
        <f>HYPERLINK("https://klasma.github.io/Logging_0127/tillsynsmail/S 1039-2025 tillsynsbegäran mail.docx", "S 1039-2025")</f>
        <v/>
      </c>
    </row>
    <row r="12" ht="15" customHeight="1">
      <c r="A12" t="inlineStr">
        <is>
          <t>A 14220-2025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45740</v>
      </c>
      <c r="E12" s="1" t="n">
        <v>46326</v>
      </c>
      <c r="F12" t="inlineStr">
        <is>
          <t>STOCKHOLMS LÄN</t>
        </is>
      </c>
      <c r="G12" t="inlineStr">
        <is>
          <t>BOTKYRKA</t>
        </is>
      </c>
      <c r="I12" t="n">
        <v>3.3</v>
      </c>
      <c r="J12" t="n">
        <v>2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4</v>
      </c>
      <c r="T12" t="n">
        <v>20</v>
      </c>
      <c r="U12" t="n">
        <v>20</v>
      </c>
      <c r="V12" s="2" t="inlineStr">
        <is>
          <t>Knärot
Tallticka
Tibast
Blåsippa</t>
        </is>
      </c>
      <c r="W12">
        <f>HYPERLINK("https://klasma.github.io/Logging_0127/artfynd/A 14220-2025 artfynd.xlsx", "A 14220-2025")</f>
        <v/>
      </c>
      <c r="X12">
        <f>HYPERLINK("https://klasma.github.io/Logging_0127/kartor/A 14220-2025 karta.png", "A 14220-2025")</f>
        <v/>
      </c>
      <c r="Y12">
        <f>HYPERLINK("https://klasma.github.io/Logging_0127/kartor_geotiff/A 14220-2025 georefererad karta.tif", "A 14220-2025")</f>
        <v/>
      </c>
      <c r="Z12">
        <f>HYPERLINK("https://klasma.github.io/Logging_0127/knärot/A 14220-2025 karta knärot.png", "A 14220-2025")</f>
        <v/>
      </c>
      <c r="AA12">
        <f>HYPERLINK("https://klasma.github.io/Logging_0127/klagomål/A 14220-2025 FSC-klagomål.docx", "A 14220-2025")</f>
        <v/>
      </c>
      <c r="AB12">
        <f>HYPERLINK("https://klasma.github.io/Logging_0127/klagomålsmail/A 14220-2025 FSC-klagomål mail.docx", "A 14220-2025")</f>
        <v/>
      </c>
      <c r="AC12">
        <f>HYPERLINK("https://klasma.github.io/Logging_0127/tillsyn/A 14220-2025 tillsynsbegäran.docx", "A 14220-2025")</f>
        <v/>
      </c>
      <c r="AD12">
        <f>HYPERLINK("https://klasma.github.io/Logging_0127/tillsynsmail/A 14220-2025 tillsynsbegäran mail.docx", "A 14220-2025")</f>
        <v/>
      </c>
    </row>
    <row r="13" ht="15" customHeight="1">
      <c r="A13" t="inlineStr">
        <is>
          <t>A 24799-2026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46171</v>
      </c>
      <c r="E13" s="1" t="n">
        <v>46326</v>
      </c>
      <c r="F13" t="inlineStr">
        <is>
          <t>STOCKHOLMS LÄN</t>
        </is>
      </c>
      <c r="G13" t="inlineStr">
        <is>
          <t>BOTKYRKA</t>
        </is>
      </c>
      <c r="I13" t="n">
        <v>1.7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4</v>
      </c>
      <c r="T13" t="n">
        <v>4</v>
      </c>
      <c r="U13" t="n">
        <v>4</v>
      </c>
      <c r="V13" s="2" t="inlineStr">
        <is>
          <t>Gulsparv
Mindre märgborre
Spillkråka
Tofsmes</t>
        </is>
      </c>
      <c r="W13">
        <f>HYPERLINK("https://klasma.github.io/Logging_0127/artfynd/A 24799-2026 artfynd.xlsx", "A 24799-2026")</f>
        <v/>
      </c>
      <c r="X13">
        <f>HYPERLINK("https://klasma.github.io/Logging_0127/kartor/A 24799-2026 karta.png", "A 24799-2026")</f>
        <v/>
      </c>
      <c r="Y13">
        <f>HYPERLINK("https://klasma.github.io/Logging_0127/kartor_geotiff/A 24799-2026 georefererad karta.tif", "A 24799-2026")</f>
        <v/>
      </c>
      <c r="AA13">
        <f>HYPERLINK("https://klasma.github.io/Logging_0127/klagomål/A 24799-2026 FSC-klagomål.docx", "A 24799-2026")</f>
        <v/>
      </c>
      <c r="AB13">
        <f>HYPERLINK("https://klasma.github.io/Logging_0127/klagomålsmail/A 24799-2026 FSC-klagomål mail.docx", "A 24799-2026")</f>
        <v/>
      </c>
      <c r="AC13">
        <f>HYPERLINK("https://klasma.github.io/Logging_0127/tillsyn/A 24799-2026 tillsynsbegäran.docx", "A 24799-2026")</f>
        <v/>
      </c>
      <c r="AD13">
        <f>HYPERLINK("https://klasma.github.io/Logging_0127/tillsynsmail/A 24799-2026 tillsynsbegäran mail.docx", "A 24799-2026")</f>
        <v/>
      </c>
      <c r="AE13">
        <f>HYPERLINK("https://klasma.github.io/Logging_0127/fåglar/A 24799-2026 prioriterade fågelarter.docx", "A 24799-2026")</f>
        <v/>
      </c>
    </row>
    <row r="14" ht="15" customHeight="1">
      <c r="A14" t="inlineStr">
        <is>
          <t>S 1038-2025</t>
        </is>
      </c>
      <c r="B14" t="inlineStr">
        <is>
          <t>samrådsanmälan</t>
        </is>
      </c>
      <c r="C14" t="inlineStr">
        <is>
          <t>Annan skogsbruksåtgärd</t>
        </is>
      </c>
      <c r="D14" s="1" t="n">
        <v>45748</v>
      </c>
      <c r="E14" s="1" t="n">
        <v>46326</v>
      </c>
      <c r="F14" t="inlineStr">
        <is>
          <t>STOCKHOLMS LÄN</t>
        </is>
      </c>
      <c r="G14" t="inlineStr">
        <is>
          <t>BOTKYRKA</t>
        </is>
      </c>
      <c r="I14" t="n">
        <v>0.5</v>
      </c>
      <c r="J14" t="n">
        <v>1</v>
      </c>
      <c r="K14" t="n">
        <v>0</v>
      </c>
      <c r="L14" t="n">
        <v>2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1</v>
      </c>
      <c r="S14" t="n">
        <v>4</v>
      </c>
      <c r="T14" t="n">
        <v>7</v>
      </c>
      <c r="U14" t="n">
        <v>0</v>
      </c>
      <c r="V14" s="2" t="inlineStr">
        <is>
          <t>Koppartaggsvamp
Orange taggsvamp
Tallticka
Spillkråka</t>
        </is>
      </c>
      <c r="W14">
        <f>HYPERLINK("https://klasma.github.io/Logging_0127/artfynd/S 1038-2025 artfynd.xlsx", "S 1038-2025")</f>
        <v/>
      </c>
      <c r="X14">
        <f>HYPERLINK("https://klasma.github.io/Logging_0127/kartor/S 1038-2025 karta.png", "S 1038-2025")</f>
        <v/>
      </c>
      <c r="Y14">
        <f>HYPERLINK("https://klasma.github.io/Logging_0127/kartor_geotiff/S 1038-2025 georefererad karta.tif", "S 1038-2025")</f>
        <v/>
      </c>
      <c r="AA14">
        <f>HYPERLINK("https://klasma.github.io/Logging_0127/klagomål/S 1038-2025 FSC-klagomål.docx", "S 1038-2025")</f>
        <v/>
      </c>
      <c r="AB14">
        <f>HYPERLINK("https://klasma.github.io/Logging_0127/klagomålsmail/S 1038-2025 FSC-klagomål mail.docx", "S 1038-2025")</f>
        <v/>
      </c>
      <c r="AC14">
        <f>HYPERLINK("https://klasma.github.io/Logging_0127/tillsyn/S 1038-2025 tillsynsbegäran.docx", "S 1038-2025")</f>
        <v/>
      </c>
      <c r="AD14">
        <f>HYPERLINK("https://klasma.github.io/Logging_0127/tillsynsmail/S 1038-2025 tillsynsbegäran mail.docx", "S 1038-2025")</f>
        <v/>
      </c>
      <c r="AE14">
        <f>HYPERLINK("https://klasma.github.io/Logging_0127/fåglar/S 1038-2025 prioriterade fågelarter.docx", "S 1038-2025")</f>
        <v/>
      </c>
    </row>
    <row r="15" ht="15" customHeight="1">
      <c r="A15" t="inlineStr">
        <is>
          <t>A 1697-2023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44938</v>
      </c>
      <c r="E15" s="1" t="n">
        <v>46326</v>
      </c>
      <c r="F15" t="inlineStr">
        <is>
          <t>STOCKHOLMS LÄN</t>
        </is>
      </c>
      <c r="G15" t="inlineStr">
        <is>
          <t>BOTKYRKA</t>
        </is>
      </c>
      <c r="I15" t="n">
        <v>1.1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3</v>
      </c>
      <c r="U15" t="n">
        <v>1</v>
      </c>
      <c r="V15" s="2" t="inlineStr">
        <is>
          <t>Lunglav
Bårdlav
Grön sköldmossa</t>
        </is>
      </c>
      <c r="W15">
        <f>HYPERLINK("https://klasma.github.io/Logging_0127/artfynd/A 1697-2023 artfynd.xlsx", "A 1697-2023")</f>
        <v/>
      </c>
      <c r="X15">
        <f>HYPERLINK("https://klasma.github.io/Logging_0127/kartor/A 1697-2023 karta.png", "A 1697-2023")</f>
        <v/>
      </c>
      <c r="Y15">
        <f>HYPERLINK("https://klasma.github.io/Logging_0127/kartor_geotiff/A 1697-2023 georefererad karta.tif", "A 1697-2023")</f>
        <v/>
      </c>
      <c r="AA15">
        <f>HYPERLINK("https://klasma.github.io/Logging_0127/klagomål/A 1697-2023 FSC-klagomål.docx", "A 1697-2023")</f>
        <v/>
      </c>
      <c r="AB15">
        <f>HYPERLINK("https://klasma.github.io/Logging_0127/klagomålsmail/A 1697-2023 FSC-klagomål mail.docx", "A 1697-2023")</f>
        <v/>
      </c>
      <c r="AC15">
        <f>HYPERLINK("https://klasma.github.io/Logging_0127/tillsyn/A 1697-2023 tillsynsbegäran.docx", "A 1697-2023")</f>
        <v/>
      </c>
      <c r="AD15">
        <f>HYPERLINK("https://klasma.github.io/Logging_0127/tillsynsmail/A 1697-2023 tillsynsbegäran mail.docx", "A 1697-2023")</f>
        <v/>
      </c>
    </row>
    <row r="16" ht="15" customHeight="1">
      <c r="A16" t="inlineStr">
        <is>
          <t>A 23829-2023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45078</v>
      </c>
      <c r="E16" s="1" t="n">
        <v>46326</v>
      </c>
      <c r="F16" t="inlineStr">
        <is>
          <t>STOCKHOLMS LÄN</t>
        </is>
      </c>
      <c r="G16" t="inlineStr">
        <is>
          <t>BOTKYRKA</t>
        </is>
      </c>
      <c r="H16" t="inlineStr">
        <is>
          <t>Kommuner</t>
        </is>
      </c>
      <c r="I16" t="n">
        <v>3.7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3</v>
      </c>
      <c r="T16" t="n">
        <v>3</v>
      </c>
      <c r="U16" t="n">
        <v>0</v>
      </c>
      <c r="V16" s="2" t="inlineStr">
        <is>
          <t>Fjällig taggsvamp s.str.
Tallticka
Fläcknycklar</t>
        </is>
      </c>
      <c r="W16">
        <f>HYPERLINK("https://klasma.github.io/Logging_0127/artfynd/A 23829-2023 artfynd.xlsx", "A 23829-2023")</f>
        <v/>
      </c>
      <c r="X16">
        <f>HYPERLINK("https://klasma.github.io/Logging_0127/kartor/A 23829-2023 karta.png", "A 23829-2023")</f>
        <v/>
      </c>
      <c r="Y16">
        <f>HYPERLINK("https://klasma.github.io/Logging_0127/kartor_geotiff/A 23829-2023 georefererad karta.tif", "A 23829-2023")</f>
        <v/>
      </c>
      <c r="AA16">
        <f>HYPERLINK("https://klasma.github.io/Logging_0127/klagomål/A 23829-2023 FSC-klagomål.docx", "A 23829-2023")</f>
        <v/>
      </c>
      <c r="AB16">
        <f>HYPERLINK("https://klasma.github.io/Logging_0127/klagomålsmail/A 23829-2023 FSC-klagomål mail.docx", "A 23829-2023")</f>
        <v/>
      </c>
      <c r="AC16">
        <f>HYPERLINK("https://klasma.github.io/Logging_0127/tillsyn/A 23829-2023 tillsynsbegäran.docx", "A 23829-2023")</f>
        <v/>
      </c>
      <c r="AD16">
        <f>HYPERLINK("https://klasma.github.io/Logging_0127/tillsynsmail/A 23829-2023 tillsynsbegäran mail.docx", "A 23829-2023")</f>
        <v/>
      </c>
    </row>
    <row r="17" ht="15" customHeight="1">
      <c r="A17" t="inlineStr">
        <is>
          <t>A 25319-2026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46176</v>
      </c>
      <c r="E17" s="1" t="n">
        <v>46326</v>
      </c>
      <c r="F17" t="inlineStr">
        <is>
          <t>STOCKHOLMS LÄN</t>
        </is>
      </c>
      <c r="G17" t="inlineStr">
        <is>
          <t>BOTKYRKA</t>
        </is>
      </c>
      <c r="I17" t="n">
        <v>1.6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4</v>
      </c>
      <c r="U17" t="n">
        <v>4</v>
      </c>
      <c r="V17" s="2" t="inlineStr">
        <is>
          <t>Grovticka
Spillkråka
Tofsmes</t>
        </is>
      </c>
      <c r="W17">
        <f>HYPERLINK("https://klasma.github.io/Logging_0127/artfynd/A 25319-2026 artfynd.xlsx", "A 25319-2026")</f>
        <v/>
      </c>
      <c r="X17">
        <f>HYPERLINK("https://klasma.github.io/Logging_0127/kartor/A 25319-2026 karta.png", "A 25319-2026")</f>
        <v/>
      </c>
      <c r="Y17">
        <f>HYPERLINK("https://klasma.github.io/Logging_0127/kartor_geotiff/A 25319-2026 georefererad karta.tif", "A 25319-2026")</f>
        <v/>
      </c>
      <c r="AA17">
        <f>HYPERLINK("https://klasma.github.io/Logging_0127/klagomål/A 25319-2026 FSC-klagomål.docx", "A 25319-2026")</f>
        <v/>
      </c>
      <c r="AB17">
        <f>HYPERLINK("https://klasma.github.io/Logging_0127/klagomålsmail/A 25319-2026 FSC-klagomål mail.docx", "A 25319-2026")</f>
        <v/>
      </c>
      <c r="AC17">
        <f>HYPERLINK("https://klasma.github.io/Logging_0127/tillsyn/A 25319-2026 tillsynsbegäran.docx", "A 25319-2026")</f>
        <v/>
      </c>
      <c r="AD17">
        <f>HYPERLINK("https://klasma.github.io/Logging_0127/tillsynsmail/A 25319-2026 tillsynsbegäran mail.docx", "A 25319-2026")</f>
        <v/>
      </c>
      <c r="AE17">
        <f>HYPERLINK("https://klasma.github.io/Logging_0127/fåglar/A 25319-2026 prioriterade fågelarter.docx", "A 25319-2026")</f>
        <v/>
      </c>
    </row>
    <row r="18" ht="15" customHeight="1">
      <c r="A18" t="inlineStr">
        <is>
          <t>A 30378-2024</t>
        </is>
      </c>
      <c r="B18" t="inlineStr">
        <is>
          <t>avverkningsanmälan</t>
        </is>
      </c>
      <c r="C18" t="inlineStr">
        <is>
          <t>Avverkning för annat ändamål</t>
        </is>
      </c>
      <c r="D18" s="1" t="n">
        <v>45491</v>
      </c>
      <c r="E18" s="1" t="n">
        <v>46326</v>
      </c>
      <c r="F18" t="inlineStr">
        <is>
          <t>STOCKHOLMS LÄN</t>
        </is>
      </c>
      <c r="G18" t="inlineStr">
        <is>
          <t>BOTKYRKA</t>
        </is>
      </c>
      <c r="I18" t="n">
        <v>0.3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</v>
      </c>
      <c r="T18" t="n">
        <v>2</v>
      </c>
      <c r="U18" t="n">
        <v>2</v>
      </c>
      <c r="V18" s="2" t="inlineStr">
        <is>
          <t>Mindre tåtelsmygare
Svinrot</t>
        </is>
      </c>
      <c r="W18">
        <f>HYPERLINK("https://klasma.github.io/Logging_0127/artfynd/A 30378-2024 artfynd.xlsx", "A 30378-2024")</f>
        <v/>
      </c>
      <c r="X18">
        <f>HYPERLINK("https://klasma.github.io/Logging_0127/kartor/A 30378-2024 karta.png", "A 30378-2024")</f>
        <v/>
      </c>
      <c r="Y18">
        <f>HYPERLINK("https://klasma.github.io/Logging_0127/kartor_geotiff/A 30378-2024 georefererad karta.tif", "A 30378-2024")</f>
        <v/>
      </c>
      <c r="AA18">
        <f>HYPERLINK("https://klasma.github.io/Logging_0127/klagomål/A 30378-2024 FSC-klagomål.docx", "A 30378-2024")</f>
        <v/>
      </c>
      <c r="AB18">
        <f>HYPERLINK("https://klasma.github.io/Logging_0127/klagomålsmail/A 30378-2024 FSC-klagomål mail.docx", "A 30378-2024")</f>
        <v/>
      </c>
      <c r="AC18">
        <f>HYPERLINK("https://klasma.github.io/Logging_0127/tillsyn/A 30378-2024 tillsynsbegäran.docx", "A 30378-2024")</f>
        <v/>
      </c>
      <c r="AD18">
        <f>HYPERLINK("https://klasma.github.io/Logging_0127/tillsynsmail/A 30378-2024 tillsynsbegäran mail.docx", "A 30378-2024")</f>
        <v/>
      </c>
    </row>
    <row r="19" ht="15" customHeight="1">
      <c r="A19" t="inlineStr">
        <is>
          <t>A 15905-2022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44664</v>
      </c>
      <c r="E19" s="1" t="n">
        <v>46326</v>
      </c>
      <c r="F19" t="inlineStr">
        <is>
          <t>STOCKHOLMS LÄN</t>
        </is>
      </c>
      <c r="G19" t="inlineStr">
        <is>
          <t>BOTKYRKA</t>
        </is>
      </c>
      <c r="I19" t="n">
        <v>11.2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3</v>
      </c>
      <c r="U19" t="n">
        <v>3</v>
      </c>
      <c r="V19" s="2" t="inlineStr">
        <is>
          <t>Motaggsvamp
Svartvit taggsvamp</t>
        </is>
      </c>
      <c r="W19">
        <f>HYPERLINK("https://klasma.github.io/Logging_0127/artfynd/A 15905-2022 artfynd.xlsx", "A 15905-2022")</f>
        <v/>
      </c>
      <c r="X19">
        <f>HYPERLINK("https://klasma.github.io/Logging_0127/kartor/A 15905-2022 karta.png", "A 15905-2022")</f>
        <v/>
      </c>
      <c r="Y19">
        <f>HYPERLINK("https://klasma.github.io/Logging_0127/kartor_geotiff/A 15905-2022 georefererad karta.tif", "A 15905-2022")</f>
        <v/>
      </c>
      <c r="AA19">
        <f>HYPERLINK("https://klasma.github.io/Logging_0127/klagomål/A 15905-2022 FSC-klagomål.docx", "A 15905-2022")</f>
        <v/>
      </c>
      <c r="AB19">
        <f>HYPERLINK("https://klasma.github.io/Logging_0127/klagomålsmail/A 15905-2022 FSC-klagomål mail.docx", "A 15905-2022")</f>
        <v/>
      </c>
      <c r="AC19">
        <f>HYPERLINK("https://klasma.github.io/Logging_0127/tillsyn/A 15905-2022 tillsynsbegäran.docx", "A 15905-2022")</f>
        <v/>
      </c>
      <c r="AD19">
        <f>HYPERLINK("https://klasma.github.io/Logging_0127/tillsynsmail/A 15905-2022 tillsynsbegäran mail.docx", "A 15905-2022")</f>
        <v/>
      </c>
    </row>
    <row r="20" ht="15" customHeight="1">
      <c r="A20" t="inlineStr">
        <is>
          <t>A 60406-2025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45995</v>
      </c>
      <c r="E20" s="1" t="n">
        <v>46326</v>
      </c>
      <c r="F20" t="inlineStr">
        <is>
          <t>STOCKHOLMS LÄN</t>
        </is>
      </c>
      <c r="G20" t="inlineStr">
        <is>
          <t>BOTKYRKA</t>
        </is>
      </c>
      <c r="H20" t="inlineStr">
        <is>
          <t>Övriga Aktiebolag</t>
        </is>
      </c>
      <c r="I20" t="n">
        <v>2.3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2</v>
      </c>
      <c r="U20" t="n">
        <v>2</v>
      </c>
      <c r="V20" s="2" t="inlineStr">
        <is>
          <t>Björksplintborre
Mindre märgborre</t>
        </is>
      </c>
      <c r="W20">
        <f>HYPERLINK("https://klasma.github.io/Logging_0127/artfynd/A 60406-2025 artfynd.xlsx", "A 60406-2025")</f>
        <v/>
      </c>
      <c r="X20">
        <f>HYPERLINK("https://klasma.github.io/Logging_0127/kartor/A 60406-2025 karta.png", "A 60406-2025")</f>
        <v/>
      </c>
      <c r="Y20">
        <f>HYPERLINK("https://klasma.github.io/Logging_0127/kartor_geotiff/A 60406-2025 georefererad karta.tif", "A 60406-2025")</f>
        <v/>
      </c>
      <c r="AA20">
        <f>HYPERLINK("https://klasma.github.io/Logging_0127/klagomål/A 60406-2025 FSC-klagomål.docx", "A 60406-2025")</f>
        <v/>
      </c>
      <c r="AB20">
        <f>HYPERLINK("https://klasma.github.io/Logging_0127/klagomålsmail/A 60406-2025 FSC-klagomål mail.docx", "A 60406-2025")</f>
        <v/>
      </c>
      <c r="AC20">
        <f>HYPERLINK("https://klasma.github.io/Logging_0127/tillsyn/A 60406-2025 tillsynsbegäran.docx", "A 60406-2025")</f>
        <v/>
      </c>
      <c r="AD20">
        <f>HYPERLINK("https://klasma.github.io/Logging_0127/tillsynsmail/A 60406-2025 tillsynsbegäran mail.docx", "A 60406-2025")</f>
        <v/>
      </c>
    </row>
    <row r="21" ht="15" customHeight="1">
      <c r="A21" t="inlineStr">
        <is>
          <t>A 25315-2026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46176</v>
      </c>
      <c r="E21" s="1" t="n">
        <v>46326</v>
      </c>
      <c r="F21" t="inlineStr">
        <is>
          <t>STOCKHOLMS LÄN</t>
        </is>
      </c>
      <c r="G21" t="inlineStr">
        <is>
          <t>BOTKYRKA</t>
        </is>
      </c>
      <c r="I21" t="n">
        <v>1.4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3</v>
      </c>
      <c r="U21" t="n">
        <v>3</v>
      </c>
      <c r="V21" s="2" t="inlineStr">
        <is>
          <t>Spillkråka
Tofsmes</t>
        </is>
      </c>
      <c r="W21">
        <f>HYPERLINK("https://klasma.github.io/Logging_0127/artfynd/A 25315-2026 artfynd.xlsx", "A 25315-2026")</f>
        <v/>
      </c>
      <c r="X21">
        <f>HYPERLINK("https://klasma.github.io/Logging_0127/kartor/A 25315-2026 karta.png", "A 25315-2026")</f>
        <v/>
      </c>
      <c r="Y21">
        <f>HYPERLINK("https://klasma.github.io/Logging_0127/kartor_geotiff/A 25315-2026 georefererad karta.tif", "A 25315-2026")</f>
        <v/>
      </c>
      <c r="AA21">
        <f>HYPERLINK("https://klasma.github.io/Logging_0127/klagomål/A 25315-2026 FSC-klagomål.docx", "A 25315-2026")</f>
        <v/>
      </c>
      <c r="AB21">
        <f>HYPERLINK("https://klasma.github.io/Logging_0127/klagomålsmail/A 25315-2026 FSC-klagomål mail.docx", "A 25315-2026")</f>
        <v/>
      </c>
      <c r="AC21">
        <f>HYPERLINK("https://klasma.github.io/Logging_0127/tillsyn/A 25315-2026 tillsynsbegäran.docx", "A 25315-2026")</f>
        <v/>
      </c>
      <c r="AD21">
        <f>HYPERLINK("https://klasma.github.io/Logging_0127/tillsynsmail/A 25315-2026 tillsynsbegäran mail.docx", "A 25315-2026")</f>
        <v/>
      </c>
      <c r="AE21">
        <f>HYPERLINK("https://klasma.github.io/Logging_0127/fåglar/A 25315-2026 prioriterade fågelarter.docx", "A 25315-2026")</f>
        <v/>
      </c>
    </row>
    <row r="22" ht="15" customHeight="1">
      <c r="A22" t="inlineStr">
        <is>
          <t>A 18100-2022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44684</v>
      </c>
      <c r="E22" s="1" t="n">
        <v>46326</v>
      </c>
      <c r="F22" t="inlineStr">
        <is>
          <t>STOCKHOLMS LÄN</t>
        </is>
      </c>
      <c r="G22" t="inlineStr">
        <is>
          <t>BOTKYRKA</t>
        </is>
      </c>
      <c r="I22" t="n">
        <v>3.1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3</v>
      </c>
      <c r="U22" t="n">
        <v>3</v>
      </c>
      <c r="V22" s="2" t="inlineStr">
        <is>
          <t>Svart trolldruva
Gullviva</t>
        </is>
      </c>
      <c r="W22">
        <f>HYPERLINK("https://klasma.github.io/Logging_0127/artfynd/A 18100-2022 artfynd.xlsx", "A 18100-2022")</f>
        <v/>
      </c>
      <c r="X22">
        <f>HYPERLINK("https://klasma.github.io/Logging_0127/kartor/A 18100-2022 karta.png", "A 18100-2022")</f>
        <v/>
      </c>
      <c r="Y22">
        <f>HYPERLINK("https://klasma.github.io/Logging_0127/kartor_geotiff/A 18100-2022 georefererad karta.tif", "A 18100-2022")</f>
        <v/>
      </c>
      <c r="AA22">
        <f>HYPERLINK("https://klasma.github.io/Logging_0127/klagomål/A 18100-2022 FSC-klagomål.docx", "A 18100-2022")</f>
        <v/>
      </c>
      <c r="AB22">
        <f>HYPERLINK("https://klasma.github.io/Logging_0127/klagomålsmail/A 18100-2022 FSC-klagomål mail.docx", "A 18100-2022")</f>
        <v/>
      </c>
      <c r="AC22">
        <f>HYPERLINK("https://klasma.github.io/Logging_0127/tillsyn/A 18100-2022 tillsynsbegäran.docx", "A 18100-2022")</f>
        <v/>
      </c>
      <c r="AD22">
        <f>HYPERLINK("https://klasma.github.io/Logging_0127/tillsynsmail/A 18100-2022 tillsynsbegäran mail.docx", "A 18100-2022")</f>
        <v/>
      </c>
    </row>
    <row r="23" ht="15" customHeight="1">
      <c r="A23" t="inlineStr">
        <is>
          <t>A 15690-2023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45020</v>
      </c>
      <c r="E23" s="1" t="n">
        <v>46326</v>
      </c>
      <c r="F23" t="inlineStr">
        <is>
          <t>STOCKHOLMS LÄN</t>
        </is>
      </c>
      <c r="G23" t="inlineStr">
        <is>
          <t>BOTKYRKA</t>
        </is>
      </c>
      <c r="I23" t="n">
        <v>5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s="2" t="inlineStr">
        <is>
          <t>Gullpudra</t>
        </is>
      </c>
      <c r="W23">
        <f>HYPERLINK("https://klasma.github.io/Logging_0127/artfynd/A 15690-2023 artfynd.xlsx", "A 15690-2023")</f>
        <v/>
      </c>
      <c r="X23">
        <f>HYPERLINK("https://klasma.github.io/Logging_0127/kartor/A 15690-2023 karta.png", "A 15690-2023")</f>
        <v/>
      </c>
      <c r="Y23">
        <f>HYPERLINK("https://klasma.github.io/Logging_0127/kartor_geotiff/A 15690-2023 georefererad karta.tif", "A 15690-2023")</f>
        <v/>
      </c>
      <c r="AA23">
        <f>HYPERLINK("https://klasma.github.io/Logging_0127/klagomål/A 15690-2023 FSC-klagomål.docx", "A 15690-2023")</f>
        <v/>
      </c>
      <c r="AB23">
        <f>HYPERLINK("https://klasma.github.io/Logging_0127/klagomålsmail/A 15690-2023 FSC-klagomål mail.docx", "A 15690-2023")</f>
        <v/>
      </c>
      <c r="AC23">
        <f>HYPERLINK("https://klasma.github.io/Logging_0127/tillsyn/A 15690-2023 tillsynsbegäran.docx", "A 15690-2023")</f>
        <v/>
      </c>
      <c r="AD23">
        <f>HYPERLINK("https://klasma.github.io/Logging_0127/tillsynsmail/A 15690-2023 tillsynsbegäran mail.docx", "A 15690-2023")</f>
        <v/>
      </c>
    </row>
    <row r="24" ht="15" customHeight="1">
      <c r="A24" t="inlineStr">
        <is>
          <t>A 14214-2025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45740</v>
      </c>
      <c r="E24" s="1" t="n">
        <v>46326</v>
      </c>
      <c r="F24" t="inlineStr">
        <is>
          <t>STOCKHOLMS LÄN</t>
        </is>
      </c>
      <c r="G24" t="inlineStr">
        <is>
          <t>BOTKYRKA</t>
        </is>
      </c>
      <c r="I24" t="n">
        <v>2.5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2</v>
      </c>
      <c r="U24" t="n">
        <v>2</v>
      </c>
      <c r="V24" s="2" t="inlineStr">
        <is>
          <t>Stare</t>
        </is>
      </c>
      <c r="W24">
        <f>HYPERLINK("https://klasma.github.io/Logging_0127/artfynd/A 14214-2025 artfynd.xlsx", "A 14214-2025")</f>
        <v/>
      </c>
      <c r="X24">
        <f>HYPERLINK("https://klasma.github.io/Logging_0127/kartor/A 14214-2025 karta.png", "A 14214-2025")</f>
        <v/>
      </c>
      <c r="Y24">
        <f>HYPERLINK("https://klasma.github.io/Logging_0127/kartor_geotiff/A 14214-2025 georefererad karta.tif", "A 14214-2025")</f>
        <v/>
      </c>
      <c r="AA24">
        <f>HYPERLINK("https://klasma.github.io/Logging_0127/klagomål/A 14214-2025 FSC-klagomål.docx", "A 14214-2025")</f>
        <v/>
      </c>
      <c r="AB24">
        <f>HYPERLINK("https://klasma.github.io/Logging_0127/klagomålsmail/A 14214-2025 FSC-klagomål mail.docx", "A 14214-2025")</f>
        <v/>
      </c>
      <c r="AC24">
        <f>HYPERLINK("https://klasma.github.io/Logging_0127/tillsyn/A 14214-2025 tillsynsbegäran.docx", "A 14214-2025")</f>
        <v/>
      </c>
      <c r="AD24">
        <f>HYPERLINK("https://klasma.github.io/Logging_0127/tillsynsmail/A 14214-2025 tillsynsbegäran mail.docx", "A 14214-2025")</f>
        <v/>
      </c>
      <c r="AE24">
        <f>HYPERLINK("https://klasma.github.io/Logging_0127/fåglar/A 14214-2025 prioriterade fågelarter.docx", "A 14214-2025")</f>
        <v/>
      </c>
    </row>
    <row r="25" ht="15" customHeight="1">
      <c r="A25" t="inlineStr">
        <is>
          <t>A 12305-2026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46087</v>
      </c>
      <c r="E25" s="1" t="n">
        <v>46326</v>
      </c>
      <c r="F25" t="inlineStr">
        <is>
          <t>STOCKHOLMS LÄN</t>
        </is>
      </c>
      <c r="G25" t="inlineStr">
        <is>
          <t>BOTKYRKA</t>
        </is>
      </c>
      <c r="H25" t="inlineStr">
        <is>
          <t>Övriga Aktiebolag</t>
        </is>
      </c>
      <c r="I25" t="n">
        <v>2.4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s="2" t="inlineStr">
        <is>
          <t>Spillkråka</t>
        </is>
      </c>
      <c r="W25">
        <f>HYPERLINK("https://klasma.github.io/Logging_0127/artfynd/A 12305-2026 artfynd.xlsx", "A 12305-2026")</f>
        <v/>
      </c>
      <c r="X25">
        <f>HYPERLINK("https://klasma.github.io/Logging_0127/kartor/A 12305-2026 karta.png", "A 12305-2026")</f>
        <v/>
      </c>
      <c r="Y25">
        <f>HYPERLINK("https://klasma.github.io/Logging_0127/kartor_geotiff/A 12305-2026 georefererad karta.tif", "A 12305-2026")</f>
        <v/>
      </c>
      <c r="AA25">
        <f>HYPERLINK("https://klasma.github.io/Logging_0127/klagomål/A 12305-2026 FSC-klagomål.docx", "A 12305-2026")</f>
        <v/>
      </c>
      <c r="AB25">
        <f>HYPERLINK("https://klasma.github.io/Logging_0127/klagomålsmail/A 12305-2026 FSC-klagomål mail.docx", "A 12305-2026")</f>
        <v/>
      </c>
      <c r="AC25">
        <f>HYPERLINK("https://klasma.github.io/Logging_0127/tillsyn/A 12305-2026 tillsynsbegäran.docx", "A 12305-2026")</f>
        <v/>
      </c>
      <c r="AD25">
        <f>HYPERLINK("https://klasma.github.io/Logging_0127/tillsynsmail/A 12305-2026 tillsynsbegäran mail.docx", "A 12305-2026")</f>
        <v/>
      </c>
      <c r="AE25">
        <f>HYPERLINK("https://klasma.github.io/Logging_0127/fåglar/A 12305-2026 prioriterade fågelarter.docx", "A 12305-2026")</f>
        <v/>
      </c>
    </row>
    <row r="26" ht="15" customHeight="1">
      <c r="A26" t="inlineStr">
        <is>
          <t>A 12590-2026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46090</v>
      </c>
      <c r="E26" s="1" t="n">
        <v>46326</v>
      </c>
      <c r="F26" t="inlineStr">
        <is>
          <t>STOCKHOLMS LÄN</t>
        </is>
      </c>
      <c r="G26" t="inlineStr">
        <is>
          <t>BOTKYRKA</t>
        </is>
      </c>
      <c r="H26" t="inlineStr">
        <is>
          <t>Övriga Aktiebolag</t>
        </is>
      </c>
      <c r="I26" t="n">
        <v>1.5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s="2" t="inlineStr">
        <is>
          <t>Mindre hackspett</t>
        </is>
      </c>
      <c r="W26">
        <f>HYPERLINK("https://klasma.github.io/Logging_0127/artfynd/A 12590-2026 artfynd.xlsx", "A 12590-2026")</f>
        <v/>
      </c>
      <c r="X26">
        <f>HYPERLINK("https://klasma.github.io/Logging_0127/kartor/A 12590-2026 karta.png", "A 12590-2026")</f>
        <v/>
      </c>
      <c r="Y26">
        <f>HYPERLINK("https://klasma.github.io/Logging_0127/kartor_geotiff/A 12590-2026 georefererad karta.tif", "A 12590-2026")</f>
        <v/>
      </c>
      <c r="AA26">
        <f>HYPERLINK("https://klasma.github.io/Logging_0127/klagomål/A 12590-2026 FSC-klagomål.docx", "A 12590-2026")</f>
        <v/>
      </c>
      <c r="AB26">
        <f>HYPERLINK("https://klasma.github.io/Logging_0127/klagomålsmail/A 12590-2026 FSC-klagomål mail.docx", "A 12590-2026")</f>
        <v/>
      </c>
      <c r="AC26">
        <f>HYPERLINK("https://klasma.github.io/Logging_0127/tillsyn/A 12590-2026 tillsynsbegäran.docx", "A 12590-2026")</f>
        <v/>
      </c>
      <c r="AD26">
        <f>HYPERLINK("https://klasma.github.io/Logging_0127/tillsynsmail/A 12590-2026 tillsynsbegäran mail.docx", "A 12590-2026")</f>
        <v/>
      </c>
      <c r="AE26">
        <f>HYPERLINK("https://klasma.github.io/Logging_0127/fåglar/A 12590-2026 prioriterade fågelarter.docx", "A 12590-2026")</f>
        <v/>
      </c>
    </row>
    <row r="27" ht="15" customHeight="1">
      <c r="A27" t="inlineStr">
        <is>
          <t>A 12842-2026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46092</v>
      </c>
      <c r="E27" s="1" t="n">
        <v>46326</v>
      </c>
      <c r="F27" t="inlineStr">
        <is>
          <t>STOCKHOLMS LÄN</t>
        </is>
      </c>
      <c r="G27" t="inlineStr">
        <is>
          <t>BOTKYRKA</t>
        </is>
      </c>
      <c r="H27" t="inlineStr">
        <is>
          <t>Övriga Aktiebolag</t>
        </is>
      </c>
      <c r="I27" t="n">
        <v>1.7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0</v>
      </c>
      <c r="V27" s="2" t="inlineStr">
        <is>
          <t>Fyrflikig jordstjärna</t>
        </is>
      </c>
      <c r="W27">
        <f>HYPERLINK("https://klasma.github.io/Logging_0127/artfynd/A 12842-2026 artfynd.xlsx", "A 12842-2026")</f>
        <v/>
      </c>
      <c r="X27">
        <f>HYPERLINK("https://klasma.github.io/Logging_0127/kartor/A 12842-2026 karta.png", "A 12842-2026")</f>
        <v/>
      </c>
      <c r="Y27">
        <f>HYPERLINK("https://klasma.github.io/Logging_0127/kartor_geotiff/A 12842-2026 georefererad karta.tif", "A 12842-2026")</f>
        <v/>
      </c>
      <c r="AA27">
        <f>HYPERLINK("https://klasma.github.io/Logging_0127/klagomål/A 12842-2026 FSC-klagomål.docx", "A 12842-2026")</f>
        <v/>
      </c>
      <c r="AB27">
        <f>HYPERLINK("https://klasma.github.io/Logging_0127/klagomålsmail/A 12842-2026 FSC-klagomål mail.docx", "A 12842-2026")</f>
        <v/>
      </c>
      <c r="AC27">
        <f>HYPERLINK("https://klasma.github.io/Logging_0127/tillsyn/A 12842-2026 tillsynsbegäran.docx", "A 12842-2026")</f>
        <v/>
      </c>
      <c r="AD27">
        <f>HYPERLINK("https://klasma.github.io/Logging_0127/tillsynsmail/A 12842-2026 tillsynsbegäran mail.docx", "A 12842-2026")</f>
        <v/>
      </c>
    </row>
    <row r="28" ht="15" customHeight="1">
      <c r="A28" t="inlineStr">
        <is>
          <t>A 3726-2022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44586</v>
      </c>
      <c r="E28" s="1" t="n">
        <v>46326</v>
      </c>
      <c r="F28" t="inlineStr">
        <is>
          <t>STOCKHOLMS LÄN</t>
        </is>
      </c>
      <c r="G28" t="inlineStr">
        <is>
          <t>BOTKYRKA</t>
        </is>
      </c>
      <c r="I28" t="n">
        <v>17.1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s="2" t="inlineStr">
        <is>
          <t>Blomkålssvamp</t>
        </is>
      </c>
      <c r="W28">
        <f>HYPERLINK("https://klasma.github.io/Logging_0127/artfynd/A 3726-2022 artfynd.xlsx", "A 3726-2022")</f>
        <v/>
      </c>
      <c r="X28">
        <f>HYPERLINK("https://klasma.github.io/Logging_0127/kartor/A 3726-2022 karta.png", "A 3726-2022")</f>
        <v/>
      </c>
      <c r="Y28">
        <f>HYPERLINK("https://klasma.github.io/Logging_0127/kartor_geotiff/A 3726-2022 georefererad karta.tif", "A 3726-2022")</f>
        <v/>
      </c>
      <c r="AA28">
        <f>HYPERLINK("https://klasma.github.io/Logging_0127/klagomål/A 3726-2022 FSC-klagomål.docx", "A 3726-2022")</f>
        <v/>
      </c>
      <c r="AB28">
        <f>HYPERLINK("https://klasma.github.io/Logging_0127/klagomålsmail/A 3726-2022 FSC-klagomål mail.docx", "A 3726-2022")</f>
        <v/>
      </c>
      <c r="AC28">
        <f>HYPERLINK("https://klasma.github.io/Logging_0127/tillsyn/A 3726-2022 tillsynsbegäran.docx", "A 3726-2022")</f>
        <v/>
      </c>
      <c r="AD28">
        <f>HYPERLINK("https://klasma.github.io/Logging_0127/tillsynsmail/A 3726-2022 tillsynsbegäran mail.docx", "A 3726-2022")</f>
        <v/>
      </c>
    </row>
    <row r="29" ht="15" customHeight="1">
      <c r="A29" t="inlineStr">
        <is>
          <t>A 28983-2024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45481</v>
      </c>
      <c r="E29" s="1" t="n">
        <v>46326</v>
      </c>
      <c r="F29" t="inlineStr">
        <is>
          <t>STOCKHOLMS LÄN</t>
        </is>
      </c>
      <c r="G29" t="inlineStr">
        <is>
          <t>BOTKYRKA</t>
        </is>
      </c>
      <c r="I29" t="n">
        <v>0.8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s="2" t="inlineStr">
        <is>
          <t>Tibast</t>
        </is>
      </c>
      <c r="W29">
        <f>HYPERLINK("https://klasma.github.io/Logging_0127/artfynd/A 28983-2024 artfynd.xlsx", "A 28983-2024")</f>
        <v/>
      </c>
      <c r="X29">
        <f>HYPERLINK("https://klasma.github.io/Logging_0127/kartor/A 28983-2024 karta.png", "A 28983-2024")</f>
        <v/>
      </c>
      <c r="Y29">
        <f>HYPERLINK("https://klasma.github.io/Logging_0127/kartor_geotiff/A 28983-2024 georefererad karta.tif", "A 28983-2024")</f>
        <v/>
      </c>
      <c r="AA29">
        <f>HYPERLINK("https://klasma.github.io/Logging_0127/klagomål/A 28983-2024 FSC-klagomål.docx", "A 28983-2024")</f>
        <v/>
      </c>
      <c r="AB29">
        <f>HYPERLINK("https://klasma.github.io/Logging_0127/klagomålsmail/A 28983-2024 FSC-klagomål mail.docx", "A 28983-2024")</f>
        <v/>
      </c>
      <c r="AC29">
        <f>HYPERLINK("https://klasma.github.io/Logging_0127/tillsyn/A 28983-2024 tillsynsbegäran.docx", "A 28983-2024")</f>
        <v/>
      </c>
      <c r="AD29">
        <f>HYPERLINK("https://klasma.github.io/Logging_0127/tillsynsmail/A 28983-2024 tillsynsbegäran mail.docx", "A 28983-2024")</f>
        <v/>
      </c>
    </row>
    <row r="30" ht="15" customHeight="1">
      <c r="A30" t="inlineStr">
        <is>
          <t>A 1691-2023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44938</v>
      </c>
      <c r="E30" s="1" t="n">
        <v>46326</v>
      </c>
      <c r="F30" t="inlineStr">
        <is>
          <t>STOCKHOLMS LÄN</t>
        </is>
      </c>
      <c r="G30" t="inlineStr">
        <is>
          <t>BOTKYRKA</t>
        </is>
      </c>
      <c r="I30" t="n">
        <v>1.7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Tibast</t>
        </is>
      </c>
      <c r="W30">
        <f>HYPERLINK("https://klasma.github.io/Logging_0127/artfynd/A 1691-2023 artfynd.xlsx", "A 1691-2023")</f>
        <v/>
      </c>
      <c r="X30">
        <f>HYPERLINK("https://klasma.github.io/Logging_0127/kartor/A 1691-2023 karta.png", "A 1691-2023")</f>
        <v/>
      </c>
      <c r="Y30">
        <f>HYPERLINK("https://klasma.github.io/Logging_0127/kartor_geotiff/A 1691-2023 georefererad karta.tif", "A 1691-2023")</f>
        <v/>
      </c>
      <c r="AA30">
        <f>HYPERLINK("https://klasma.github.io/Logging_0127/klagomål/A 1691-2023 FSC-klagomål.docx", "A 1691-2023")</f>
        <v/>
      </c>
      <c r="AB30">
        <f>HYPERLINK("https://klasma.github.io/Logging_0127/klagomålsmail/A 1691-2023 FSC-klagomål mail.docx", "A 1691-2023")</f>
        <v/>
      </c>
      <c r="AC30">
        <f>HYPERLINK("https://klasma.github.io/Logging_0127/tillsyn/A 1691-2023 tillsynsbegäran.docx", "A 1691-2023")</f>
        <v/>
      </c>
      <c r="AD30">
        <f>HYPERLINK("https://klasma.github.io/Logging_0127/tillsynsmail/A 1691-2023 tillsynsbegäran mail.docx", "A 1691-2023")</f>
        <v/>
      </c>
    </row>
    <row r="31" ht="15" customHeight="1">
      <c r="A31" t="inlineStr">
        <is>
          <t>A 61514-2022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44916</v>
      </c>
      <c r="E31" s="1" t="n">
        <v>46326</v>
      </c>
      <c r="F31" t="inlineStr">
        <is>
          <t>STOCKHOLMS LÄN</t>
        </is>
      </c>
      <c r="G31" t="inlineStr">
        <is>
          <t>BOTKYRKA</t>
        </is>
      </c>
      <c r="I31" t="n">
        <v>1.3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s="2" t="inlineStr">
        <is>
          <t>Vanlig groda</t>
        </is>
      </c>
      <c r="W31">
        <f>HYPERLINK("https://klasma.github.io/Logging_0127/artfynd/A 61514-2022 artfynd.xlsx", "A 61514-2022")</f>
        <v/>
      </c>
      <c r="X31">
        <f>HYPERLINK("https://klasma.github.io/Logging_0127/kartor/A 61514-2022 karta.png", "A 61514-2022")</f>
        <v/>
      </c>
      <c r="Y31">
        <f>HYPERLINK("https://klasma.github.io/Logging_0127/kartor_geotiff/A 61514-2022 georefererad karta.tif", "A 61514-2022")</f>
        <v/>
      </c>
      <c r="AA31">
        <f>HYPERLINK("https://klasma.github.io/Logging_0127/klagomål/A 61514-2022 FSC-klagomål.docx", "A 61514-2022")</f>
        <v/>
      </c>
      <c r="AB31">
        <f>HYPERLINK("https://klasma.github.io/Logging_0127/klagomålsmail/A 61514-2022 FSC-klagomål mail.docx", "A 61514-2022")</f>
        <v/>
      </c>
      <c r="AC31">
        <f>HYPERLINK("https://klasma.github.io/Logging_0127/tillsyn/A 61514-2022 tillsynsbegäran.docx", "A 61514-2022")</f>
        <v/>
      </c>
      <c r="AD31">
        <f>HYPERLINK("https://klasma.github.io/Logging_0127/tillsynsmail/A 61514-2022 tillsynsbegäran mail.docx", "A 61514-2022")</f>
        <v/>
      </c>
    </row>
    <row r="32" ht="15" customHeight="1">
      <c r="A32" t="inlineStr">
        <is>
          <t>A 3681-2022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44586</v>
      </c>
      <c r="E32" s="1" t="n">
        <v>46326</v>
      </c>
      <c r="F32" t="inlineStr">
        <is>
          <t>STOCKHOLMS LÄN</t>
        </is>
      </c>
      <c r="G32" t="inlineStr">
        <is>
          <t>BOTKYRKA</t>
        </is>
      </c>
      <c r="I32" t="n">
        <v>0.4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48667-2022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44859</v>
      </c>
      <c r="E33" s="1" t="n">
        <v>46326</v>
      </c>
      <c r="F33" t="inlineStr">
        <is>
          <t>STOCKHOLMS LÄN</t>
        </is>
      </c>
      <c r="G33" t="inlineStr">
        <is>
          <t>BOTKYRKA</t>
        </is>
      </c>
      <c r="H33" t="inlineStr">
        <is>
          <t>Övriga Aktiebolag</t>
        </is>
      </c>
      <c r="I33" t="n">
        <v>0.4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32828-2022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44784</v>
      </c>
      <c r="E34" s="1" t="n">
        <v>46326</v>
      </c>
      <c r="F34" t="inlineStr">
        <is>
          <t>STOCKHOLMS LÄN</t>
        </is>
      </c>
      <c r="G34" t="inlineStr">
        <is>
          <t>BOTKYRKA</t>
        </is>
      </c>
      <c r="H34" t="inlineStr">
        <is>
          <t>Övriga Aktiebolag</t>
        </is>
      </c>
      <c r="I34" t="n">
        <v>0.9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73772-2021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44552</v>
      </c>
      <c r="E35" s="1" t="n">
        <v>46326</v>
      </c>
      <c r="F35" t="inlineStr">
        <is>
          <t>STOCKHOLMS LÄN</t>
        </is>
      </c>
      <c r="G35" t="inlineStr">
        <is>
          <t>BOTKYRKA</t>
        </is>
      </c>
      <c r="I35" t="n">
        <v>0.8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48647-2022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44859</v>
      </c>
      <c r="E36" s="1" t="n">
        <v>46326</v>
      </c>
      <c r="F36" t="inlineStr">
        <is>
          <t>STOCKHOLMS LÄN</t>
        </is>
      </c>
      <c r="G36" t="inlineStr">
        <is>
          <t>BOTKYRKA</t>
        </is>
      </c>
      <c r="H36" t="inlineStr">
        <is>
          <t>Övriga Aktiebolag</t>
        </is>
      </c>
      <c r="I36" t="n">
        <v>0.5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14202-2025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45740</v>
      </c>
      <c r="E37" s="1" t="n">
        <v>46326</v>
      </c>
      <c r="F37" t="inlineStr">
        <is>
          <t>STOCKHOLMS LÄN</t>
        </is>
      </c>
      <c r="G37" t="inlineStr">
        <is>
          <t>BOTKYRKA</t>
        </is>
      </c>
      <c r="I37" t="n">
        <v>0.9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21285-2023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45062</v>
      </c>
      <c r="E38" s="1" t="n">
        <v>46326</v>
      </c>
      <c r="F38" t="inlineStr">
        <is>
          <t>STOCKHOLMS LÄN</t>
        </is>
      </c>
      <c r="G38" t="inlineStr">
        <is>
          <t>BOTKYRKA</t>
        </is>
      </c>
      <c r="I38" t="n">
        <v>0.8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30925-2023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45113</v>
      </c>
      <c r="E39" s="1" t="n">
        <v>46326</v>
      </c>
      <c r="F39" t="inlineStr">
        <is>
          <t>STOCKHOLMS LÄN</t>
        </is>
      </c>
      <c r="G39" t="inlineStr">
        <is>
          <t>BOTKYRKA</t>
        </is>
      </c>
      <c r="H39" t="inlineStr">
        <is>
          <t>Övriga Aktiebolag</t>
        </is>
      </c>
      <c r="I39" t="n">
        <v>0.8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14217-2025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45740</v>
      </c>
      <c r="E40" s="1" t="n">
        <v>46326</v>
      </c>
      <c r="F40" t="inlineStr">
        <is>
          <t>STOCKHOLMS LÄN</t>
        </is>
      </c>
      <c r="G40" t="inlineStr">
        <is>
          <t>BOTKYRKA</t>
        </is>
      </c>
      <c r="I40" t="n">
        <v>3.4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73194-2021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44550</v>
      </c>
      <c r="E41" s="1" t="n">
        <v>46326</v>
      </c>
      <c r="F41" t="inlineStr">
        <is>
          <t>STOCKHOLMS LÄN</t>
        </is>
      </c>
      <c r="G41" t="inlineStr">
        <is>
          <t>BOTKYRKA</t>
        </is>
      </c>
      <c r="I41" t="n">
        <v>1.1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16483-2023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45029</v>
      </c>
      <c r="E42" s="1" t="n">
        <v>46326</v>
      </c>
      <c r="F42" t="inlineStr">
        <is>
          <t>STOCKHOLMS LÄN</t>
        </is>
      </c>
      <c r="G42" t="inlineStr">
        <is>
          <t>BOTKYRKA</t>
        </is>
      </c>
      <c r="I42" t="n">
        <v>3.1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46405-2022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44846</v>
      </c>
      <c r="E43" s="1" t="n">
        <v>46326</v>
      </c>
      <c r="F43" t="inlineStr">
        <is>
          <t>STOCKHOLMS LÄN</t>
        </is>
      </c>
      <c r="G43" t="inlineStr">
        <is>
          <t>BOTKYRKA</t>
        </is>
      </c>
      <c r="I43" t="n">
        <v>3.4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20649-2022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44700</v>
      </c>
      <c r="E44" s="1" t="n">
        <v>46326</v>
      </c>
      <c r="F44" t="inlineStr">
        <is>
          <t>STOCKHOLMS LÄN</t>
        </is>
      </c>
      <c r="G44" t="inlineStr">
        <is>
          <t>BOTKYRKA</t>
        </is>
      </c>
      <c r="H44" t="inlineStr">
        <is>
          <t>Övriga Aktiebolag</t>
        </is>
      </c>
      <c r="I44" t="n">
        <v>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8528-2024</t>
        </is>
      </c>
      <c r="B45" t="inlineStr">
        <is>
          <t>avverkningsanmälan</t>
        </is>
      </c>
      <c r="C45" t="inlineStr">
        <is>
          <t>Avverkning för annat ändamål</t>
        </is>
      </c>
      <c r="D45" s="1" t="n">
        <v>45355</v>
      </c>
      <c r="E45" s="1" t="n">
        <v>46326</v>
      </c>
      <c r="F45" t="inlineStr">
        <is>
          <t>STOCKHOLMS LÄN</t>
        </is>
      </c>
      <c r="G45" t="inlineStr">
        <is>
          <t>BOTKYRKA</t>
        </is>
      </c>
      <c r="I45" t="n">
        <v>0.4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54468-2025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45965</v>
      </c>
      <c r="E46" s="1" t="n">
        <v>46326</v>
      </c>
      <c r="F46" t="inlineStr">
        <is>
          <t>STOCKHOLMS LÄN</t>
        </is>
      </c>
      <c r="G46" t="inlineStr">
        <is>
          <t>BOTKYRKA</t>
        </is>
      </c>
      <c r="I46" t="n">
        <v>4.4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45869-2022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44844</v>
      </c>
      <c r="E47" s="1" t="n">
        <v>46326</v>
      </c>
      <c r="F47" t="inlineStr">
        <is>
          <t>STOCKHOLMS LÄN</t>
        </is>
      </c>
      <c r="G47" t="inlineStr">
        <is>
          <t>BOTKYRKA</t>
        </is>
      </c>
      <c r="I47" t="n">
        <v>3.4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3686-2022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44586</v>
      </c>
      <c r="E48" s="1" t="n">
        <v>46326</v>
      </c>
      <c r="F48" t="inlineStr">
        <is>
          <t>STOCKHOLMS LÄN</t>
        </is>
      </c>
      <c r="G48" t="inlineStr">
        <is>
          <t>BOTKYRKA</t>
        </is>
      </c>
      <c r="I48" t="n">
        <v>3.8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15692-2023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45020</v>
      </c>
      <c r="E49" s="1" t="n">
        <v>46326</v>
      </c>
      <c r="F49" t="inlineStr">
        <is>
          <t>STOCKHOLMS LÄN</t>
        </is>
      </c>
      <c r="G49" t="inlineStr">
        <is>
          <t>BOTKYRKA</t>
        </is>
      </c>
      <c r="I49" t="n">
        <v>2.1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12306-2026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46087</v>
      </c>
      <c r="E50" s="1" t="n">
        <v>46326</v>
      </c>
      <c r="F50" t="inlineStr">
        <is>
          <t>STOCKHOLMS LÄN</t>
        </is>
      </c>
      <c r="G50" t="inlineStr">
        <is>
          <t>BOTKYRKA</t>
        </is>
      </c>
      <c r="H50" t="inlineStr">
        <is>
          <t>Övriga Aktiebolag</t>
        </is>
      </c>
      <c r="I50" t="n">
        <v>1.1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12294-2026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46087</v>
      </c>
      <c r="E51" s="1" t="n">
        <v>46326</v>
      </c>
      <c r="F51" t="inlineStr">
        <is>
          <t>STOCKHOLMS LÄN</t>
        </is>
      </c>
      <c r="G51" t="inlineStr">
        <is>
          <t>BOTKYRKA</t>
        </is>
      </c>
      <c r="H51" t="inlineStr">
        <is>
          <t>Övriga Aktiebolag</t>
        </is>
      </c>
      <c r="I51" t="n">
        <v>1.2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73151-2021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44550</v>
      </c>
      <c r="E52" s="1" t="n">
        <v>46326</v>
      </c>
      <c r="F52" t="inlineStr">
        <is>
          <t>STOCKHOLMS LÄN</t>
        </is>
      </c>
      <c r="G52" t="inlineStr">
        <is>
          <t>BOTKYRKA</t>
        </is>
      </c>
      <c r="I52" t="n">
        <v>0.5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9032-2023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44979</v>
      </c>
      <c r="E53" s="1" t="n">
        <v>46326</v>
      </c>
      <c r="F53" t="inlineStr">
        <is>
          <t>STOCKHOLMS LÄN</t>
        </is>
      </c>
      <c r="G53" t="inlineStr">
        <is>
          <t>BOTKYRKA</t>
        </is>
      </c>
      <c r="I53" t="n">
        <v>2.6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73155-2021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44550</v>
      </c>
      <c r="E54" s="1" t="n">
        <v>46326</v>
      </c>
      <c r="F54" t="inlineStr">
        <is>
          <t>STOCKHOLMS LÄN</t>
        </is>
      </c>
      <c r="G54" t="inlineStr">
        <is>
          <t>BOTKYRKA</t>
        </is>
      </c>
      <c r="I54" t="n">
        <v>0.8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48656-2022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44859</v>
      </c>
      <c r="E55" s="1" t="n">
        <v>46326</v>
      </c>
      <c r="F55" t="inlineStr">
        <is>
          <t>STOCKHOLMS LÄN</t>
        </is>
      </c>
      <c r="G55" t="inlineStr">
        <is>
          <t>BOTKYRKA</t>
        </is>
      </c>
      <c r="H55" t="inlineStr">
        <is>
          <t>Övriga Aktiebolag</t>
        </is>
      </c>
      <c r="I55" t="n">
        <v>1.1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38194-2022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44812</v>
      </c>
      <c r="E56" s="1" t="n">
        <v>46326</v>
      </c>
      <c r="F56" t="inlineStr">
        <is>
          <t>STOCKHOLMS LÄN</t>
        </is>
      </c>
      <c r="G56" t="inlineStr">
        <is>
          <t>BOTKYRKA</t>
        </is>
      </c>
      <c r="I56" t="n">
        <v>1.6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11867-2024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45376</v>
      </c>
      <c r="E57" s="1" t="n">
        <v>46326</v>
      </c>
      <c r="F57" t="inlineStr">
        <is>
          <t>STOCKHOLMS LÄN</t>
        </is>
      </c>
      <c r="G57" t="inlineStr">
        <is>
          <t>BOTKYRKA</t>
        </is>
      </c>
      <c r="I57" t="n">
        <v>2.9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22391-2026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46154</v>
      </c>
      <c r="E58" s="1" t="n">
        <v>46326</v>
      </c>
      <c r="F58" t="inlineStr">
        <is>
          <t>STOCKHOLMS LÄN</t>
        </is>
      </c>
      <c r="G58" t="inlineStr">
        <is>
          <t>BOTKYRKA</t>
        </is>
      </c>
      <c r="I58" t="n">
        <v>2.2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25217-2024</t>
        </is>
      </c>
      <c r="B59" t="inlineStr">
        <is>
          <t>avverkningsanmälan</t>
        </is>
      </c>
      <c r="C59" t="inlineStr">
        <is>
          <t>Avverkning för annat ändamål</t>
        </is>
      </c>
      <c r="D59" s="1" t="n">
        <v>45462</v>
      </c>
      <c r="E59" s="1" t="n">
        <v>46326</v>
      </c>
      <c r="F59" t="inlineStr">
        <is>
          <t>STOCKHOLMS LÄN</t>
        </is>
      </c>
      <c r="G59" t="inlineStr">
        <is>
          <t>BOTKYRKA</t>
        </is>
      </c>
      <c r="H59" t="inlineStr">
        <is>
          <t>Övriga Aktiebolag</t>
        </is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23725-2026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46164</v>
      </c>
      <c r="E60" s="1" t="n">
        <v>46326</v>
      </c>
      <c r="F60" t="inlineStr">
        <is>
          <t>STOCKHOLMS LÄN</t>
        </is>
      </c>
      <c r="G60" t="inlineStr">
        <is>
          <t>BOTKYRKA</t>
        </is>
      </c>
      <c r="I60" t="n">
        <v>2.3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23716-2026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46164</v>
      </c>
      <c r="E61" s="1" t="n">
        <v>46326</v>
      </c>
      <c r="F61" t="inlineStr">
        <is>
          <t>STOCKHOLMS LÄN</t>
        </is>
      </c>
      <c r="G61" t="inlineStr">
        <is>
          <t>BOTKYRKA</t>
        </is>
      </c>
      <c r="I61" t="n">
        <v>1.6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23718-2026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46164</v>
      </c>
      <c r="E62" s="1" t="n">
        <v>46326</v>
      </c>
      <c r="F62" t="inlineStr">
        <is>
          <t>STOCKHOLMS LÄN</t>
        </is>
      </c>
      <c r="G62" t="inlineStr">
        <is>
          <t>BOTKYRKA</t>
        </is>
      </c>
      <c r="I62" t="n">
        <v>1.5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30622-2024</t>
        </is>
      </c>
      <c r="B63" t="inlineStr">
        <is>
          <t>avverkningsanmälan</t>
        </is>
      </c>
      <c r="C63" t="inlineStr">
        <is>
          <t>Avverkning för annat ändamål</t>
        </is>
      </c>
      <c r="D63" s="1" t="n">
        <v>45495</v>
      </c>
      <c r="E63" s="1" t="n">
        <v>46326</v>
      </c>
      <c r="F63" t="inlineStr">
        <is>
          <t>STOCKHOLMS LÄN</t>
        </is>
      </c>
      <c r="G63" t="inlineStr">
        <is>
          <t>BOTKYRKA</t>
        </is>
      </c>
      <c r="I63" t="n">
        <v>0.3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27717-2026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46190</v>
      </c>
      <c r="E64" s="1" t="n">
        <v>46326</v>
      </c>
      <c r="F64" t="inlineStr">
        <is>
          <t>STOCKHOLMS LÄN</t>
        </is>
      </c>
      <c r="G64" t="inlineStr">
        <is>
          <t>BOTKYRKA</t>
        </is>
      </c>
      <c r="H64" t="inlineStr">
        <is>
          <t>Övriga Aktiebolag</t>
        </is>
      </c>
      <c r="I64" t="n">
        <v>2.5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16145-2024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45406</v>
      </c>
      <c r="E65" s="1" t="n">
        <v>46326</v>
      </c>
      <c r="F65" t="inlineStr">
        <is>
          <t>STOCKHOLMS LÄN</t>
        </is>
      </c>
      <c r="G65" t="inlineStr">
        <is>
          <t>BOTKYRKA</t>
        </is>
      </c>
      <c r="I65" t="n">
        <v>0.6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3021-2025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45678</v>
      </c>
      <c r="E66" s="1" t="n">
        <v>46326</v>
      </c>
      <c r="F66" t="inlineStr">
        <is>
          <t>STOCKHOLMS LÄN</t>
        </is>
      </c>
      <c r="G66" t="inlineStr">
        <is>
          <t>BOTKYRKA</t>
        </is>
      </c>
      <c r="H66" t="inlineStr">
        <is>
          <t>Övriga Aktiebolag</t>
        </is>
      </c>
      <c r="I66" t="n">
        <v>1.4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6059-2022</t>
        </is>
      </c>
      <c r="B67" t="inlineStr">
        <is>
          <t>avverkningsanmälan</t>
        </is>
      </c>
      <c r="C67" t="inlineStr">
        <is>
          <t>Avverkning för annat ändamål</t>
        </is>
      </c>
      <c r="D67" s="1" t="n">
        <v>44599</v>
      </c>
      <c r="E67" s="1" t="n">
        <v>46326</v>
      </c>
      <c r="F67" t="inlineStr">
        <is>
          <t>STOCKHOLMS LÄN</t>
        </is>
      </c>
      <c r="G67" t="inlineStr">
        <is>
          <t>BOTKYRKA</t>
        </is>
      </c>
      <c r="I67" t="n">
        <v>1.1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16142-2024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45406</v>
      </c>
      <c r="E68" s="1" t="n">
        <v>46326</v>
      </c>
      <c r="F68" t="inlineStr">
        <is>
          <t>STOCKHOLMS LÄN</t>
        </is>
      </c>
      <c r="G68" t="inlineStr">
        <is>
          <t>BOTKYRKA</t>
        </is>
      </c>
      <c r="I68" t="n">
        <v>1.5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11876-2024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45376</v>
      </c>
      <c r="E69" s="1" t="n">
        <v>46326</v>
      </c>
      <c r="F69" t="inlineStr">
        <is>
          <t>STOCKHOLMS LÄN</t>
        </is>
      </c>
      <c r="G69" t="inlineStr">
        <is>
          <t>BOTKYRKA</t>
        </is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35108-2026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46258</v>
      </c>
      <c r="E70" s="1" t="n">
        <v>46326</v>
      </c>
      <c r="F70" t="inlineStr">
        <is>
          <t>STOCKHOLMS LÄN</t>
        </is>
      </c>
      <c r="G70" t="inlineStr">
        <is>
          <t>BOTKYRKA</t>
        </is>
      </c>
      <c r="I70" t="n">
        <v>6.4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>
      <c r="A71" t="inlineStr">
        <is>
          <t>S 380-2026</t>
        </is>
      </c>
      <c r="B71" t="inlineStr">
        <is>
          <t>samrådsanmälan</t>
        </is>
      </c>
      <c r="C71" t="inlineStr">
        <is>
          <t>Annan skogsbruksåtgärd</t>
        </is>
      </c>
      <c r="D71" s="1" t="n">
        <v>46065</v>
      </c>
      <c r="E71" s="1" t="n">
        <v>46326</v>
      </c>
      <c r="F71" t="inlineStr">
        <is>
          <t>STOCKHOLMS LÄN</t>
        </is>
      </c>
      <c r="G71" t="inlineStr">
        <is>
          <t>BOTKYRKA</t>
        </is>
      </c>
      <c r="H71" t="inlineStr">
        <is>
          <t>Kommuner</t>
        </is>
      </c>
      <c r="I71" t="n">
        <v>0.3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2026-10-31T03:25:22Z</dcterms:created>
  <dcterms:modified xmlns:dcterms="http://purl.org/dc/terms/" xmlns:xsi="http://www.w3.org/2001/XMLSchema-instance" xsi:type="dcterms:W3CDTF">2026-10-31T03:25:22Z</dcterms:modified>
</cp:coreProperties>
</file>