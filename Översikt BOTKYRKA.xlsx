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45350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45350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45350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45350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45350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45350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45350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45350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45350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57725-2018</t>
        </is>
      </c>
      <c r="B11" s="1" t="n">
        <v>43405</v>
      </c>
      <c r="C11" s="1" t="n">
        <v>45350</v>
      </c>
      <c r="D11" t="inlineStr">
        <is>
          <t>STOCKHOLMS LÄN</t>
        </is>
      </c>
      <c r="E11" t="inlineStr">
        <is>
          <t>BOTKYRKA</t>
        </is>
      </c>
      <c r="F11" t="inlineStr">
        <is>
          <t>Kommuner</t>
        </is>
      </c>
      <c r="G11" t="n">
        <v>3.2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HYPERLINK("https://klasma.github.io/Logging_0127/artfynd/A 57725-2018 artfynd.xlsx", "A 57725-2018")</f>
        <v/>
      </c>
      <c r="T11">
        <f>HYPERLINK("https://klasma.github.io/Logging_0127/kartor/A 57725-2018 karta.png", "A 57725-2018")</f>
        <v/>
      </c>
      <c r="V11">
        <f>HYPERLINK("https://klasma.github.io/Logging_0127/klagomål/A 57725-2018 FSC-klagomål.docx", "A 57725-2018")</f>
        <v/>
      </c>
      <c r="W11">
        <f>HYPERLINK("https://klasma.github.io/Logging_0127/klagomålsmail/A 57725-2018 FSC-klagomål mail.docx", "A 57725-2018")</f>
        <v/>
      </c>
      <c r="X11">
        <f>HYPERLINK("https://klasma.github.io/Logging_0127/tillsyn/A 57725-2018 tillsynsbegäran.docx", "A 57725-2018")</f>
        <v/>
      </c>
      <c r="Y11">
        <f>HYPERLINK("https://klasma.github.io/Logging_0127/tillsynsmail/A 57725-2018 tillsynsbegäran mail.docx", "A 57725-2018")</f>
        <v/>
      </c>
    </row>
    <row r="12" ht="15" customHeight="1">
      <c r="A12" t="inlineStr">
        <is>
          <t>A 16236-2020</t>
        </is>
      </c>
      <c r="B12" s="1" t="n">
        <v>43917</v>
      </c>
      <c r="C12" s="1" t="n">
        <v>45350</v>
      </c>
      <c r="D12" t="inlineStr">
        <is>
          <t>STOCKHOLMS LÄN</t>
        </is>
      </c>
      <c r="E12" t="inlineStr">
        <is>
          <t>BOTKYRKA</t>
        </is>
      </c>
      <c r="G12" t="n">
        <v>2.5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HYPERLINK("https://klasma.github.io/Logging_0127/artfynd/A 16236-2020 artfynd.xlsx", "A 16236-2020")</f>
        <v/>
      </c>
      <c r="T12">
        <f>HYPERLINK("https://klasma.github.io/Logging_0127/kartor/A 16236-2020 karta.png", "A 16236-2020")</f>
        <v/>
      </c>
      <c r="V12">
        <f>HYPERLINK("https://klasma.github.io/Logging_0127/klagomål/A 16236-2020 FSC-klagomål.docx", "A 16236-2020")</f>
        <v/>
      </c>
      <c r="W12">
        <f>HYPERLINK("https://klasma.github.io/Logging_0127/klagomålsmail/A 16236-2020 FSC-klagomål mail.docx", "A 16236-2020")</f>
        <v/>
      </c>
      <c r="X12">
        <f>HYPERLINK("https://klasma.github.io/Logging_0127/tillsyn/A 16236-2020 tillsynsbegäran.docx", "A 16236-2020")</f>
        <v/>
      </c>
      <c r="Y12">
        <f>HYPERLINK("https://klasma.github.io/Logging_0127/tillsynsmail/A 16236-2020 tillsynsbegäran mail.docx", "A 16236-2020")</f>
        <v/>
      </c>
    </row>
    <row r="13" ht="15" customHeight="1">
      <c r="A13" t="inlineStr">
        <is>
          <t>A 34971-2020</t>
        </is>
      </c>
      <c r="B13" s="1" t="n">
        <v>44039</v>
      </c>
      <c r="C13" s="1" t="n">
        <v>45350</v>
      </c>
      <c r="D13" t="inlineStr">
        <is>
          <t>STOCKHOLMS LÄN</t>
        </is>
      </c>
      <c r="E13" t="inlineStr">
        <is>
          <t>BOTKYRKA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34971-2020 artfynd.xlsx", "A 34971-2020")</f>
        <v/>
      </c>
      <c r="T13">
        <f>HYPERLINK("https://klasma.github.io/Logging_0127/kartor/A 34971-2020 karta.png", "A 34971-2020")</f>
        <v/>
      </c>
      <c r="V13">
        <f>HYPERLINK("https://klasma.github.io/Logging_0127/klagomål/A 34971-2020 FSC-klagomål.docx", "A 34971-2020")</f>
        <v/>
      </c>
      <c r="W13">
        <f>HYPERLINK("https://klasma.github.io/Logging_0127/klagomålsmail/A 34971-2020 FSC-klagomål mail.docx", "A 34971-2020")</f>
        <v/>
      </c>
      <c r="X13">
        <f>HYPERLINK("https://klasma.github.io/Logging_0127/tillsyn/A 34971-2020 tillsynsbegäran.docx", "A 34971-2020")</f>
        <v/>
      </c>
      <c r="Y13">
        <f>HYPERLINK("https://klasma.github.io/Logging_0127/tillsynsmail/A 34971-2020 tillsynsbegäran mail.docx", "A 34971-2020")</f>
        <v/>
      </c>
    </row>
    <row r="14" ht="15" customHeight="1">
      <c r="A14" t="inlineStr">
        <is>
          <t>A 10469-2022</t>
        </is>
      </c>
      <c r="B14" s="1" t="n">
        <v>44623</v>
      </c>
      <c r="C14" s="1" t="n">
        <v>45350</v>
      </c>
      <c r="D14" t="inlineStr">
        <is>
          <t>STOCKHOLMS LÄN</t>
        </is>
      </c>
      <c r="E14" t="inlineStr">
        <is>
          <t>BOTKYRKA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HYPERLINK("https://klasma.github.io/Logging_0127/artfynd/A 10469-2022 artfynd.xlsx", "A 10469-2022")</f>
        <v/>
      </c>
      <c r="T14">
        <f>HYPERLINK("https://klasma.github.io/Logging_0127/kartor/A 10469-2022 karta.png", "A 10469-2022")</f>
        <v/>
      </c>
      <c r="V14">
        <f>HYPERLINK("https://klasma.github.io/Logging_0127/klagomål/A 10469-2022 FSC-klagomål.docx", "A 10469-2022")</f>
        <v/>
      </c>
      <c r="W14">
        <f>HYPERLINK("https://klasma.github.io/Logging_0127/klagomålsmail/A 10469-2022 FSC-klagomål mail.docx", "A 10469-2022")</f>
        <v/>
      </c>
      <c r="X14">
        <f>HYPERLINK("https://klasma.github.io/Logging_0127/tillsyn/A 10469-2022 tillsynsbegäran.docx", "A 10469-2022")</f>
        <v/>
      </c>
      <c r="Y14">
        <f>HYPERLINK("https://klasma.github.io/Logging_0127/tillsynsmail/A 10469-2022 tillsynsbegäran mail.docx", "A 10469-2022")</f>
        <v/>
      </c>
    </row>
    <row r="15" ht="15" customHeight="1">
      <c r="A15" t="inlineStr">
        <is>
          <t>A 18100-2022</t>
        </is>
      </c>
      <c r="B15" s="1" t="n">
        <v>44684</v>
      </c>
      <c r="C15" s="1" t="n">
        <v>45350</v>
      </c>
      <c r="D15" t="inlineStr">
        <is>
          <t>STOCKHOLMS LÄN</t>
        </is>
      </c>
      <c r="E15" t="inlineStr">
        <is>
          <t>BOTKYRKA</t>
        </is>
      </c>
      <c r="G15" t="n">
        <v>3.1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HYPERLINK("https://klasma.github.io/Logging_0127/artfynd/A 18100-2022 artfynd.xlsx", "A 18100-2022")</f>
        <v/>
      </c>
      <c r="T15">
        <f>HYPERLINK("https://klasma.github.io/Logging_0127/kartor/A 18100-2022 karta.png", "A 18100-2022")</f>
        <v/>
      </c>
      <c r="V15">
        <f>HYPERLINK("https://klasma.github.io/Logging_0127/klagomål/A 18100-2022 FSC-klagomål.docx", "A 18100-2022")</f>
        <v/>
      </c>
      <c r="W15">
        <f>HYPERLINK("https://klasma.github.io/Logging_0127/klagomålsmail/A 18100-2022 FSC-klagomål mail.docx", "A 18100-2022")</f>
        <v/>
      </c>
      <c r="X15">
        <f>HYPERLINK("https://klasma.github.io/Logging_0127/tillsyn/A 18100-2022 tillsynsbegäran.docx", "A 18100-2022")</f>
        <v/>
      </c>
      <c r="Y15">
        <f>HYPERLINK("https://klasma.github.io/Logging_0127/tillsynsmail/A 18100-2022 tillsynsbegäran mail.docx", "A 18100-2022")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45350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5574-2023</t>
        </is>
      </c>
      <c r="B17" s="1" t="n">
        <v>44960</v>
      </c>
      <c r="C17" s="1" t="n">
        <v>45350</v>
      </c>
      <c r="D17" t="inlineStr">
        <is>
          <t>STOCKHOLMS LÄN</t>
        </is>
      </c>
      <c r="E17" t="inlineStr">
        <is>
          <t>BOTKYRKA</t>
        </is>
      </c>
      <c r="G17" t="n">
        <v>1.7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Tibast</t>
        </is>
      </c>
      <c r="S17">
        <f>HYPERLINK("https://klasma.github.io/Logging_0127/artfynd/A 5574-2023 artfynd.xlsx", "A 5574-2023")</f>
        <v/>
      </c>
      <c r="T17">
        <f>HYPERLINK("https://klasma.github.io/Logging_0127/kartor/A 5574-2023 karta.png", "A 5574-2023")</f>
        <v/>
      </c>
      <c r="V17">
        <f>HYPERLINK("https://klasma.github.io/Logging_0127/klagomål/A 5574-2023 FSC-klagomål.docx", "A 5574-2023")</f>
        <v/>
      </c>
      <c r="W17">
        <f>HYPERLINK("https://klasma.github.io/Logging_0127/klagomålsmail/A 5574-2023 FSC-klagomål mail.docx", "A 5574-2023")</f>
        <v/>
      </c>
      <c r="X17">
        <f>HYPERLINK("https://klasma.github.io/Logging_0127/tillsyn/A 5574-2023 tillsynsbegäran.docx", "A 5574-2023")</f>
        <v/>
      </c>
      <c r="Y17">
        <f>HYPERLINK("https://klasma.github.io/Logging_0127/tillsynsmail/A 5574-2023 tillsynsbegäran mail.docx", "A 5574-2023")</f>
        <v/>
      </c>
    </row>
    <row r="18" ht="15" customHeight="1">
      <c r="A18" t="inlineStr">
        <is>
          <t>A 23829-2023</t>
        </is>
      </c>
      <c r="B18" s="1" t="n">
        <v>45078</v>
      </c>
      <c r="C18" s="1" t="n">
        <v>45350</v>
      </c>
      <c r="D18" t="inlineStr">
        <is>
          <t>STOCKHOLMS LÄN</t>
        </is>
      </c>
      <c r="E18" t="inlineStr">
        <is>
          <t>BOTKYRKA</t>
        </is>
      </c>
      <c r="F18" t="inlineStr">
        <is>
          <t>Kommuner</t>
        </is>
      </c>
      <c r="G18" t="n">
        <v>3.7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Fjällig taggsvamp s.str.</t>
        </is>
      </c>
      <c r="S18">
        <f>HYPERLINK("https://klasma.github.io/Logging_0127/artfynd/A 23829-2023 artfynd.xlsx", "A 23829-2023")</f>
        <v/>
      </c>
      <c r="T18">
        <f>HYPERLINK("https://klasma.github.io/Logging_0127/kartor/A 23829-2023 karta.png", "A 23829-2023")</f>
        <v/>
      </c>
      <c r="V18">
        <f>HYPERLINK("https://klasma.github.io/Logging_0127/klagomål/A 23829-2023 FSC-klagomål.docx", "A 23829-2023")</f>
        <v/>
      </c>
      <c r="W18">
        <f>HYPERLINK("https://klasma.github.io/Logging_0127/klagomålsmail/A 23829-2023 FSC-klagomål mail.docx", "A 23829-2023")</f>
        <v/>
      </c>
      <c r="X18">
        <f>HYPERLINK("https://klasma.github.io/Logging_0127/tillsyn/A 23829-2023 tillsynsbegäran.docx", "A 23829-2023")</f>
        <v/>
      </c>
      <c r="Y18">
        <f>HYPERLINK("https://klasma.github.io/Logging_0127/tillsynsmail/A 23829-2023 tillsynsbegäran mail.docx", "A 23829-2023")</f>
        <v/>
      </c>
    </row>
    <row r="19" ht="15" customHeight="1">
      <c r="A19" t="inlineStr">
        <is>
          <t>A 59769-2018</t>
        </is>
      </c>
      <c r="B19" s="1" t="n">
        <v>43411</v>
      </c>
      <c r="C19" s="1" t="n">
        <v>45350</v>
      </c>
      <c r="D19" t="inlineStr">
        <is>
          <t>STOCKHOLMS LÄN</t>
        </is>
      </c>
      <c r="E19" t="inlineStr">
        <is>
          <t>BOTKYRKA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60094-2018</t>
        </is>
      </c>
      <c r="B20" s="1" t="n">
        <v>43412</v>
      </c>
      <c r="C20" s="1" t="n">
        <v>45350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59890-2018</t>
        </is>
      </c>
      <c r="B21" s="1" t="n">
        <v>43419</v>
      </c>
      <c r="C21" s="1" t="n">
        <v>45350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66176-2018</t>
        </is>
      </c>
      <c r="B22" s="1" t="n">
        <v>43434</v>
      </c>
      <c r="C22" s="1" t="n">
        <v>45350</v>
      </c>
      <c r="D22" t="inlineStr">
        <is>
          <t>STOCKHOLMS LÄN</t>
        </is>
      </c>
      <c r="E22" t="inlineStr">
        <is>
          <t>BOTKYRKA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68832-2018</t>
        </is>
      </c>
      <c r="B23" s="1" t="n">
        <v>43439</v>
      </c>
      <c r="C23" s="1" t="n">
        <v>45350</v>
      </c>
      <c r="D23" t="inlineStr">
        <is>
          <t>STOCKHOLMS LÄN</t>
        </is>
      </c>
      <c r="E23" t="inlineStr">
        <is>
          <t>BOTKYRKA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8523-2019</t>
        </is>
      </c>
      <c r="B24" s="1" t="n">
        <v>43502</v>
      </c>
      <c r="C24" s="1" t="n">
        <v>45350</v>
      </c>
      <c r="D24" t="inlineStr">
        <is>
          <t>STOCKHOLMS LÄN</t>
        </is>
      </c>
      <c r="E24" t="inlineStr">
        <is>
          <t>BOTKYRKA</t>
        </is>
      </c>
      <c r="G24" t="n">
        <v>1.8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40642-2019</t>
        </is>
      </c>
      <c r="B25" s="1" t="n">
        <v>43696</v>
      </c>
      <c r="C25" s="1" t="n">
        <v>45350</v>
      </c>
      <c r="D25" t="inlineStr">
        <is>
          <t>STOCKHOLMS LÄN</t>
        </is>
      </c>
      <c r="E25" t="inlineStr">
        <is>
          <t>BOTKYRKA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40641-2019</t>
        </is>
      </c>
      <c r="B26" s="1" t="n">
        <v>43696</v>
      </c>
      <c r="C26" s="1" t="n">
        <v>45350</v>
      </c>
      <c r="D26" t="inlineStr">
        <is>
          <t>STOCKHOLMS LÄN</t>
        </is>
      </c>
      <c r="E26" t="inlineStr">
        <is>
          <t>BOTKYRKA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42448-2019</t>
        </is>
      </c>
      <c r="B27" s="1" t="n">
        <v>43704</v>
      </c>
      <c r="C27" s="1" t="n">
        <v>45350</v>
      </c>
      <c r="D27" t="inlineStr">
        <is>
          <t>STOCKHOLMS LÄN</t>
        </is>
      </c>
      <c r="E27" t="inlineStr">
        <is>
          <t>BOTKYRKA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51387-2019</t>
        </is>
      </c>
      <c r="B28" s="1" t="n">
        <v>43740</v>
      </c>
      <c r="C28" s="1" t="n">
        <v>45350</v>
      </c>
      <c r="D28" t="inlineStr">
        <is>
          <t>STOCKHOLMS LÄN</t>
        </is>
      </c>
      <c r="E28" t="inlineStr">
        <is>
          <t>BOTKYRKA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2554-2020</t>
        </is>
      </c>
      <c r="B29" s="1" t="n">
        <v>43847</v>
      </c>
      <c r="C29" s="1" t="n">
        <v>45350</v>
      </c>
      <c r="D29" t="inlineStr">
        <is>
          <t>STOCKHOLMS LÄN</t>
        </is>
      </c>
      <c r="E29" t="inlineStr">
        <is>
          <t>BOTKYRKA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5953-2020</t>
        </is>
      </c>
      <c r="B30" s="1" t="n">
        <v>43864</v>
      </c>
      <c r="C30" s="1" t="n">
        <v>45350</v>
      </c>
      <c r="D30" t="inlineStr">
        <is>
          <t>STOCKHOLMS LÄN</t>
        </is>
      </c>
      <c r="E30" t="inlineStr">
        <is>
          <t>BOTKYRKA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10790-2020</t>
        </is>
      </c>
      <c r="B31" s="1" t="n">
        <v>43888</v>
      </c>
      <c r="C31" s="1" t="n">
        <v>45350</v>
      </c>
      <c r="D31" t="inlineStr">
        <is>
          <t>STOCKHOLMS LÄN</t>
        </is>
      </c>
      <c r="E31" t="inlineStr">
        <is>
          <t>BOTKYRKA</t>
        </is>
      </c>
      <c r="G31" t="n">
        <v>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10807-2020</t>
        </is>
      </c>
      <c r="B32" s="1" t="n">
        <v>43888</v>
      </c>
      <c r="C32" s="1" t="n">
        <v>45350</v>
      </c>
      <c r="D32" t="inlineStr">
        <is>
          <t>STOCKHOLMS LÄN</t>
        </is>
      </c>
      <c r="E32" t="inlineStr">
        <is>
          <t>BOTKYRKA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12321-2020</t>
        </is>
      </c>
      <c r="B33" s="1" t="n">
        <v>43895</v>
      </c>
      <c r="C33" s="1" t="n">
        <v>45350</v>
      </c>
      <c r="D33" t="inlineStr">
        <is>
          <t>STOCKHOLMS LÄN</t>
        </is>
      </c>
      <c r="E33" t="inlineStr">
        <is>
          <t>BOTKYRKA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12320-2020</t>
        </is>
      </c>
      <c r="B34" s="1" t="n">
        <v>43895</v>
      </c>
      <c r="C34" s="1" t="n">
        <v>45350</v>
      </c>
      <c r="D34" t="inlineStr">
        <is>
          <t>STOCKHOLMS LÄN</t>
        </is>
      </c>
      <c r="E34" t="inlineStr">
        <is>
          <t>BOTKYRKA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12988-2020</t>
        </is>
      </c>
      <c r="B35" s="1" t="n">
        <v>43900</v>
      </c>
      <c r="C35" s="1" t="n">
        <v>45350</v>
      </c>
      <c r="D35" t="inlineStr">
        <is>
          <t>STOCKHOLMS LÄN</t>
        </is>
      </c>
      <c r="E35" t="inlineStr">
        <is>
          <t>BOTKYRKA</t>
        </is>
      </c>
      <c r="G35" t="n">
        <v>13.7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16048-2020</t>
        </is>
      </c>
      <c r="B36" s="1" t="n">
        <v>43916</v>
      </c>
      <c r="C36" s="1" t="n">
        <v>45350</v>
      </c>
      <c r="D36" t="inlineStr">
        <is>
          <t>STOCKHOLMS LÄN</t>
        </is>
      </c>
      <c r="E36" t="inlineStr">
        <is>
          <t>BOTKYRKA</t>
        </is>
      </c>
      <c r="G36" t="n">
        <v>4.7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21645-2020</t>
        </is>
      </c>
      <c r="B37" s="1" t="n">
        <v>43956</v>
      </c>
      <c r="C37" s="1" t="n">
        <v>45350</v>
      </c>
      <c r="D37" t="inlineStr">
        <is>
          <t>STOCKHOLMS LÄN</t>
        </is>
      </c>
      <c r="E37" t="inlineStr">
        <is>
          <t>BOTKYRKA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23426-2020</t>
        </is>
      </c>
      <c r="B38" s="1" t="n">
        <v>43969</v>
      </c>
      <c r="C38" s="1" t="n">
        <v>45350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33881-2020</t>
        </is>
      </c>
      <c r="B39" s="1" t="n">
        <v>44025</v>
      </c>
      <c r="C39" s="1" t="n">
        <v>45350</v>
      </c>
      <c r="D39" t="inlineStr">
        <is>
          <t>STOCKHOLMS LÄN</t>
        </is>
      </c>
      <c r="E39" t="inlineStr">
        <is>
          <t>BOTKYRKA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39531-2020</t>
        </is>
      </c>
      <c r="B40" s="1" t="n">
        <v>44064</v>
      </c>
      <c r="C40" s="1" t="n">
        <v>45350</v>
      </c>
      <c r="D40" t="inlineStr">
        <is>
          <t>STOCKHOLMS LÄN</t>
        </is>
      </c>
      <c r="E40" t="inlineStr">
        <is>
          <t>BOTKYRKA</t>
        </is>
      </c>
      <c r="G40" t="n">
        <v>3.5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45350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53979-2020</t>
        </is>
      </c>
      <c r="B42" s="1" t="n">
        <v>44125</v>
      </c>
      <c r="C42" s="1" t="n">
        <v>45350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6.3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55200-2020</t>
        </is>
      </c>
      <c r="B43" s="1" t="n">
        <v>44130</v>
      </c>
      <c r="C43" s="1" t="n">
        <v>45350</v>
      </c>
      <c r="D43" t="inlineStr">
        <is>
          <t>STOCKHOLMS LÄN</t>
        </is>
      </c>
      <c r="E43" t="inlineStr">
        <is>
          <t>BOTKYRKA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57809-2020</t>
        </is>
      </c>
      <c r="B44" s="1" t="n">
        <v>44141</v>
      </c>
      <c r="C44" s="1" t="n">
        <v>45350</v>
      </c>
      <c r="D44" t="inlineStr">
        <is>
          <t>STOCKHOLMS LÄN</t>
        </is>
      </c>
      <c r="E44" t="inlineStr">
        <is>
          <t>BOTKYRKA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58517-2020</t>
        </is>
      </c>
      <c r="B45" s="1" t="n">
        <v>44145</v>
      </c>
      <c r="C45" s="1" t="n">
        <v>45350</v>
      </c>
      <c r="D45" t="inlineStr">
        <is>
          <t>STOCKHOLMS LÄN</t>
        </is>
      </c>
      <c r="E45" t="inlineStr">
        <is>
          <t>BOTKYRKA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58531-2020</t>
        </is>
      </c>
      <c r="B46" s="1" t="n">
        <v>44145</v>
      </c>
      <c r="C46" s="1" t="n">
        <v>45350</v>
      </c>
      <c r="D46" t="inlineStr">
        <is>
          <t>STOCKHOLMS LÄN</t>
        </is>
      </c>
      <c r="E46" t="inlineStr">
        <is>
          <t>BOTKYRKA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177-2021</t>
        </is>
      </c>
      <c r="B47" s="1" t="n">
        <v>44200</v>
      </c>
      <c r="C47" s="1" t="n">
        <v>45350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4281-2021</t>
        </is>
      </c>
      <c r="B48" s="1" t="n">
        <v>44223</v>
      </c>
      <c r="C48" s="1" t="n">
        <v>45350</v>
      </c>
      <c r="D48" t="inlineStr">
        <is>
          <t>STOCKHOLMS LÄN</t>
        </is>
      </c>
      <c r="E48" t="inlineStr">
        <is>
          <t>BOTKYRKA</t>
        </is>
      </c>
      <c r="F48" t="inlineStr">
        <is>
          <t>Övriga Aktiebolag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10808-2021</t>
        </is>
      </c>
      <c r="B49" s="1" t="n">
        <v>44259</v>
      </c>
      <c r="C49" s="1" t="n">
        <v>45350</v>
      </c>
      <c r="D49" t="inlineStr">
        <is>
          <t>STOCKHOLMS LÄN</t>
        </is>
      </c>
      <c r="E49" t="inlineStr">
        <is>
          <t>BOTKYRKA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10817-2021</t>
        </is>
      </c>
      <c r="B50" s="1" t="n">
        <v>44259</v>
      </c>
      <c r="C50" s="1" t="n">
        <v>45350</v>
      </c>
      <c r="D50" t="inlineStr">
        <is>
          <t>STOCKHOLMS LÄN</t>
        </is>
      </c>
      <c r="E50" t="inlineStr">
        <is>
          <t>BOTKYRKA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10815-2021</t>
        </is>
      </c>
      <c r="B51" s="1" t="n">
        <v>44259</v>
      </c>
      <c r="C51" s="1" t="n">
        <v>45350</v>
      </c>
      <c r="D51" t="inlineStr">
        <is>
          <t>STOCKHOLMS LÄN</t>
        </is>
      </c>
      <c r="E51" t="inlineStr">
        <is>
          <t>BOTKYRKA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20210-2021</t>
        </is>
      </c>
      <c r="B52" s="1" t="n">
        <v>44314</v>
      </c>
      <c r="C52" s="1" t="n">
        <v>45350</v>
      </c>
      <c r="D52" t="inlineStr">
        <is>
          <t>STOCKHOLMS LÄN</t>
        </is>
      </c>
      <c r="E52" t="inlineStr">
        <is>
          <t>BOTKYRKA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27791-2021</t>
        </is>
      </c>
      <c r="B53" s="1" t="n">
        <v>44354</v>
      </c>
      <c r="C53" s="1" t="n">
        <v>45350</v>
      </c>
      <c r="D53" t="inlineStr">
        <is>
          <t>STOCKHOLMS LÄN</t>
        </is>
      </c>
      <c r="E53" t="inlineStr">
        <is>
          <t>BOTKYRKA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33016-2021</t>
        </is>
      </c>
      <c r="B54" s="1" t="n">
        <v>44376</v>
      </c>
      <c r="C54" s="1" t="n">
        <v>45350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33015-2021</t>
        </is>
      </c>
      <c r="B55" s="1" t="n">
        <v>44376</v>
      </c>
      <c r="C55" s="1" t="n">
        <v>45350</v>
      </c>
      <c r="D55" t="inlineStr">
        <is>
          <t>STOCKHOLMS LÄN</t>
        </is>
      </c>
      <c r="E55" t="inlineStr">
        <is>
          <t>BOTKYRKA</t>
        </is>
      </c>
      <c r="G55" t="n">
        <v>48.7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35492-2021</t>
        </is>
      </c>
      <c r="B56" s="1" t="n">
        <v>44385</v>
      </c>
      <c r="C56" s="1" t="n">
        <v>45350</v>
      </c>
      <c r="D56" t="inlineStr">
        <is>
          <t>STOCKHOLMS LÄN</t>
        </is>
      </c>
      <c r="E56" t="inlineStr">
        <is>
          <t>BOTKYRKA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36097-2021</t>
        </is>
      </c>
      <c r="B57" s="1" t="n">
        <v>44389</v>
      </c>
      <c r="C57" s="1" t="n">
        <v>45350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37095-2021</t>
        </is>
      </c>
      <c r="B58" s="1" t="n">
        <v>44395</v>
      </c>
      <c r="C58" s="1" t="n">
        <v>45350</v>
      </c>
      <c r="D58" t="inlineStr">
        <is>
          <t>STOCKHOLMS LÄN</t>
        </is>
      </c>
      <c r="E58" t="inlineStr">
        <is>
          <t>BOTKYRKA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43717-2021</t>
        </is>
      </c>
      <c r="B59" s="1" t="n">
        <v>44433</v>
      </c>
      <c r="C59" s="1" t="n">
        <v>45350</v>
      </c>
      <c r="D59" t="inlineStr">
        <is>
          <t>STOCKHOLMS LÄN</t>
        </is>
      </c>
      <c r="E59" t="inlineStr">
        <is>
          <t>BOTKYRKA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52035-2021</t>
        </is>
      </c>
      <c r="B60" s="1" t="n">
        <v>44463</v>
      </c>
      <c r="C60" s="1" t="n">
        <v>45350</v>
      </c>
      <c r="D60" t="inlineStr">
        <is>
          <t>STOCKHOLMS LÄN</t>
        </is>
      </c>
      <c r="E60" t="inlineStr">
        <is>
          <t>BOTKYRKA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56816-2021</t>
        </is>
      </c>
      <c r="B61" s="1" t="n">
        <v>44481</v>
      </c>
      <c r="C61" s="1" t="n">
        <v>45350</v>
      </c>
      <c r="D61" t="inlineStr">
        <is>
          <t>STOCKHOLMS LÄN</t>
        </is>
      </c>
      <c r="E61" t="inlineStr">
        <is>
          <t>BOTKYRKA</t>
        </is>
      </c>
      <c r="G61" t="n">
        <v>10.9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</v>
      </c>
      <c r="C62" s="1" t="n">
        <v>45350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73155-2021</t>
        </is>
      </c>
      <c r="B63" s="1" t="n">
        <v>44550</v>
      </c>
      <c r="C63" s="1" t="n">
        <v>45350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73194-2021</t>
        </is>
      </c>
      <c r="B64" s="1" t="n">
        <v>44550</v>
      </c>
      <c r="C64" s="1" t="n">
        <v>45350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73772-2021</t>
        </is>
      </c>
      <c r="B65" s="1" t="n">
        <v>44552</v>
      </c>
      <c r="C65" s="1" t="n">
        <v>45350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3681-2022</t>
        </is>
      </c>
      <c r="B66" s="1" t="n">
        <v>44586</v>
      </c>
      <c r="C66" s="1" t="n">
        <v>45350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</v>
      </c>
      <c r="C67" s="1" t="n">
        <v>45350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3671-2022</t>
        </is>
      </c>
      <c r="B68" s="1" t="n">
        <v>44586</v>
      </c>
      <c r="C68" s="1" t="n">
        <v>45350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3726-2022</t>
        </is>
      </c>
      <c r="B69" s="1" t="n">
        <v>44586</v>
      </c>
      <c r="C69" s="1" t="n">
        <v>45350</v>
      </c>
      <c r="D69" t="inlineStr">
        <is>
          <t>STOCKHOLMS LÄN</t>
        </is>
      </c>
      <c r="E69" t="inlineStr">
        <is>
          <t>BOTKYRKA</t>
        </is>
      </c>
      <c r="G69" t="n">
        <v>17.1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45350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11095-2022</t>
        </is>
      </c>
      <c r="B71" s="1" t="n">
        <v>44628</v>
      </c>
      <c r="C71" s="1" t="n">
        <v>45350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15825-2022</t>
        </is>
      </c>
      <c r="B72" s="1" t="n">
        <v>44664</v>
      </c>
      <c r="C72" s="1" t="n">
        <v>45350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15905-2022</t>
        </is>
      </c>
      <c r="B73" s="1" t="n">
        <v>44664</v>
      </c>
      <c r="C73" s="1" t="n">
        <v>45350</v>
      </c>
      <c r="D73" t="inlineStr">
        <is>
          <t>STOCKHOLMS LÄN</t>
        </is>
      </c>
      <c r="E73" t="inlineStr">
        <is>
          <t>BOTKYRKA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17789-2022</t>
        </is>
      </c>
      <c r="B74" s="1" t="n">
        <v>44680</v>
      </c>
      <c r="C74" s="1" t="n">
        <v>45350</v>
      </c>
      <c r="D74" t="inlineStr">
        <is>
          <t>STOCKHOLMS LÄN</t>
        </is>
      </c>
      <c r="E74" t="inlineStr">
        <is>
          <t>BOTKYRKA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18093-2022</t>
        </is>
      </c>
      <c r="B75" s="1" t="n">
        <v>44684</v>
      </c>
      <c r="C75" s="1" t="n">
        <v>45350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20649-2022</t>
        </is>
      </c>
      <c r="B76" s="1" t="n">
        <v>44700</v>
      </c>
      <c r="C76" s="1" t="n">
        <v>45350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32828-2022</t>
        </is>
      </c>
      <c r="B77" s="1" t="n">
        <v>44784</v>
      </c>
      <c r="C77" s="1" t="n">
        <v>45350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38194-2022</t>
        </is>
      </c>
      <c r="B78" s="1" t="n">
        <v>44812</v>
      </c>
      <c r="C78" s="1" t="n">
        <v>45350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38202-2022</t>
        </is>
      </c>
      <c r="B79" s="1" t="n">
        <v>44812</v>
      </c>
      <c r="C79" s="1" t="n">
        <v>45350</v>
      </c>
      <c r="D79" t="inlineStr">
        <is>
          <t>STOCKHOLMS LÄN</t>
        </is>
      </c>
      <c r="E79" t="inlineStr">
        <is>
          <t>BOTKYRKA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38196-2022</t>
        </is>
      </c>
      <c r="B80" s="1" t="n">
        <v>44812</v>
      </c>
      <c r="C80" s="1" t="n">
        <v>45350</v>
      </c>
      <c r="D80" t="inlineStr">
        <is>
          <t>STOCKHOLMS LÄN</t>
        </is>
      </c>
      <c r="E80" t="inlineStr">
        <is>
          <t>BOTKYRKA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38543-2022</t>
        </is>
      </c>
      <c r="B81" s="1" t="n">
        <v>44813</v>
      </c>
      <c r="C81" s="1" t="n">
        <v>45350</v>
      </c>
      <c r="D81" t="inlineStr">
        <is>
          <t>STOCKHOLMS LÄN</t>
        </is>
      </c>
      <c r="E81" t="inlineStr">
        <is>
          <t>BOTKYRKA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45869-2022</t>
        </is>
      </c>
      <c r="B82" s="1" t="n">
        <v>44844</v>
      </c>
      <c r="C82" s="1" t="n">
        <v>45350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46405-2022</t>
        </is>
      </c>
      <c r="B83" s="1" t="n">
        <v>44846</v>
      </c>
      <c r="C83" s="1" t="n">
        <v>45350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47617-2022</t>
        </is>
      </c>
      <c r="B84" s="1" t="n">
        <v>44852</v>
      </c>
      <c r="C84" s="1" t="n">
        <v>45350</v>
      </c>
      <c r="D84" t="inlineStr">
        <is>
          <t>STOCKHOLMS LÄN</t>
        </is>
      </c>
      <c r="E84" t="inlineStr">
        <is>
          <t>BOTKYRKA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48647-2022</t>
        </is>
      </c>
      <c r="B85" s="1" t="n">
        <v>44859</v>
      </c>
      <c r="C85" s="1" t="n">
        <v>45350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48667-2022</t>
        </is>
      </c>
      <c r="B86" s="1" t="n">
        <v>44859</v>
      </c>
      <c r="C86" s="1" t="n">
        <v>45350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48656-2022</t>
        </is>
      </c>
      <c r="B87" s="1" t="n">
        <v>44859</v>
      </c>
      <c r="C87" s="1" t="n">
        <v>45350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57876-2022</t>
        </is>
      </c>
      <c r="B88" s="1" t="n">
        <v>44899</v>
      </c>
      <c r="C88" s="1" t="n">
        <v>45350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58618-2022</t>
        </is>
      </c>
      <c r="B89" s="1" t="n">
        <v>44902</v>
      </c>
      <c r="C89" s="1" t="n">
        <v>45350</v>
      </c>
      <c r="D89" t="inlineStr">
        <is>
          <t>STOCKHOLMS LÄN</t>
        </is>
      </c>
      <c r="E89" t="inlineStr">
        <is>
          <t>BOTKYRKA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61242-2022</t>
        </is>
      </c>
      <c r="B90" s="1" t="n">
        <v>44915</v>
      </c>
      <c r="C90" s="1" t="n">
        <v>45350</v>
      </c>
      <c r="D90" t="inlineStr">
        <is>
          <t>STOCKHOLMS LÄN</t>
        </is>
      </c>
      <c r="E90" t="inlineStr">
        <is>
          <t>BOTKYRKA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61225-2022</t>
        </is>
      </c>
      <c r="B91" s="1" t="n">
        <v>44915</v>
      </c>
      <c r="C91" s="1" t="n">
        <v>45350</v>
      </c>
      <c r="D91" t="inlineStr">
        <is>
          <t>STOCKHOLMS LÄN</t>
        </is>
      </c>
      <c r="E91" t="inlineStr">
        <is>
          <t>BOTKYRKA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61516-2022</t>
        </is>
      </c>
      <c r="B92" s="1" t="n">
        <v>44916</v>
      </c>
      <c r="C92" s="1" t="n">
        <v>45350</v>
      </c>
      <c r="D92" t="inlineStr">
        <is>
          <t>STOCKHOLMS LÄN</t>
        </is>
      </c>
      <c r="E92" t="inlineStr">
        <is>
          <t>BOTKYRKA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61514-2022</t>
        </is>
      </c>
      <c r="B93" s="1" t="n">
        <v>44916</v>
      </c>
      <c r="C93" s="1" t="n">
        <v>45350</v>
      </c>
      <c r="D93" t="inlineStr">
        <is>
          <t>STOCKHOLMS LÄN</t>
        </is>
      </c>
      <c r="E93" t="inlineStr">
        <is>
          <t>BOTKYRKA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695-2023</t>
        </is>
      </c>
      <c r="B94" s="1" t="n">
        <v>44930</v>
      </c>
      <c r="C94" s="1" t="n">
        <v>45350</v>
      </c>
      <c r="D94" t="inlineStr">
        <is>
          <t>STOCKHOLMS LÄN</t>
        </is>
      </c>
      <c r="E94" t="inlineStr">
        <is>
          <t>BOTKYRKA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1347-2023</t>
        </is>
      </c>
      <c r="B95" s="1" t="n">
        <v>44936</v>
      </c>
      <c r="C95" s="1" t="n">
        <v>45350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1344-2023</t>
        </is>
      </c>
      <c r="B96" s="1" t="n">
        <v>44936</v>
      </c>
      <c r="C96" s="1" t="n">
        <v>45350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1337-2023</t>
        </is>
      </c>
      <c r="B97" s="1" t="n">
        <v>44936</v>
      </c>
      <c r="C97" s="1" t="n">
        <v>45350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1368-2023</t>
        </is>
      </c>
      <c r="B98" s="1" t="n">
        <v>44936</v>
      </c>
      <c r="C98" s="1" t="n">
        <v>45350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1695-2023</t>
        </is>
      </c>
      <c r="B99" s="1" t="n">
        <v>44938</v>
      </c>
      <c r="C99" s="1" t="n">
        <v>45350</v>
      </c>
      <c r="D99" t="inlineStr">
        <is>
          <t>STOCKHOLMS LÄN</t>
        </is>
      </c>
      <c r="E99" t="inlineStr">
        <is>
          <t>BOTKYRKA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9032-2023</t>
        </is>
      </c>
      <c r="B100" s="1" t="n">
        <v>44979</v>
      </c>
      <c r="C100" s="1" t="n">
        <v>45350</v>
      </c>
      <c r="D100" t="inlineStr">
        <is>
          <t>STOCKHOLMS LÄN</t>
        </is>
      </c>
      <c r="E100" t="inlineStr">
        <is>
          <t>BOTKYRKA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12282-2023</t>
        </is>
      </c>
      <c r="B101" s="1" t="n">
        <v>44995</v>
      </c>
      <c r="C101" s="1" t="n">
        <v>45350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15690-2023</t>
        </is>
      </c>
      <c r="B102" s="1" t="n">
        <v>45020</v>
      </c>
      <c r="C102" s="1" t="n">
        <v>45350</v>
      </c>
      <c r="D102" t="inlineStr">
        <is>
          <t>STOCKHOLMS LÄN</t>
        </is>
      </c>
      <c r="E102" t="inlineStr">
        <is>
          <t>BOTKYRKA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15692-2023</t>
        </is>
      </c>
      <c r="B103" s="1" t="n">
        <v>45020</v>
      </c>
      <c r="C103" s="1" t="n">
        <v>45350</v>
      </c>
      <c r="D103" t="inlineStr">
        <is>
          <t>STOCKHOLMS LÄN</t>
        </is>
      </c>
      <c r="E103" t="inlineStr">
        <is>
          <t>BOTKYRKA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16483-2023</t>
        </is>
      </c>
      <c r="B104" s="1" t="n">
        <v>45029</v>
      </c>
      <c r="C104" s="1" t="n">
        <v>45350</v>
      </c>
      <c r="D104" t="inlineStr">
        <is>
          <t>STOCKHOLMS LÄN</t>
        </is>
      </c>
      <c r="E104" t="inlineStr">
        <is>
          <t>BOTKYRKA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18956-2023</t>
        </is>
      </c>
      <c r="B105" s="1" t="n">
        <v>45044</v>
      </c>
      <c r="C105" s="1" t="n">
        <v>45350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19577-2023</t>
        </is>
      </c>
      <c r="B106" s="1" t="n">
        <v>45050</v>
      </c>
      <c r="C106" s="1" t="n">
        <v>45350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21285-2023</t>
        </is>
      </c>
      <c r="B107" s="1" t="n">
        <v>45062</v>
      </c>
      <c r="C107" s="1" t="n">
        <v>45350</v>
      </c>
      <c r="D107" t="inlineStr">
        <is>
          <t>STOCKHOLMS LÄN</t>
        </is>
      </c>
      <c r="E107" t="inlineStr">
        <is>
          <t>BOTKYRKA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30917-2023</t>
        </is>
      </c>
      <c r="B108" s="1" t="n">
        <v>45113</v>
      </c>
      <c r="C108" s="1" t="n">
        <v>45350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30925-2023</t>
        </is>
      </c>
      <c r="B109" s="1" t="n">
        <v>45113</v>
      </c>
      <c r="C109" s="1" t="n">
        <v>45350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36402-2023</t>
        </is>
      </c>
      <c r="B110" s="1" t="n">
        <v>45152</v>
      </c>
      <c r="C110" s="1" t="n">
        <v>45350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39763-2023</t>
        </is>
      </c>
      <c r="B111" s="1" t="n">
        <v>45167</v>
      </c>
      <c r="C111" s="1" t="n">
        <v>45350</v>
      </c>
      <c r="D111" t="inlineStr">
        <is>
          <t>STOCKHOLMS LÄN</t>
        </is>
      </c>
      <c r="E111" t="inlineStr">
        <is>
          <t>BOTKYRKA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40978-2023</t>
        </is>
      </c>
      <c r="B112" s="1" t="n">
        <v>45173</v>
      </c>
      <c r="C112" s="1" t="n">
        <v>45350</v>
      </c>
      <c r="D112" t="inlineStr">
        <is>
          <t>STOCKHOLMS LÄN</t>
        </is>
      </c>
      <c r="E112" t="inlineStr">
        <is>
          <t>BOTKYRKA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46942-2023</t>
        </is>
      </c>
      <c r="B113" s="1" t="n">
        <v>45195</v>
      </c>
      <c r="C113" s="1" t="n">
        <v>45350</v>
      </c>
      <c r="D113" t="inlineStr">
        <is>
          <t>STOCKHOLMS LÄN</t>
        </is>
      </c>
      <c r="E113" t="inlineStr">
        <is>
          <t>BOTKYRKA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56885-2023</t>
        </is>
      </c>
      <c r="B114" s="1" t="n">
        <v>45244</v>
      </c>
      <c r="C114" s="1" t="n">
        <v>45350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56900-2023</t>
        </is>
      </c>
      <c r="B115" s="1" t="n">
        <v>45244</v>
      </c>
      <c r="C115" s="1" t="n">
        <v>45350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60063-2023</t>
        </is>
      </c>
      <c r="B116" s="1" t="n">
        <v>45258</v>
      </c>
      <c r="C116" s="1" t="n">
        <v>45350</v>
      </c>
      <c r="D116" t="inlineStr">
        <is>
          <t>STOCKHOLMS LÄN</t>
        </is>
      </c>
      <c r="E116" t="inlineStr">
        <is>
          <t>BOTKYRKA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60075-2023</t>
        </is>
      </c>
      <c r="B117" s="1" t="n">
        <v>45258</v>
      </c>
      <c r="C117" s="1" t="n">
        <v>45350</v>
      </c>
      <c r="D117" t="inlineStr">
        <is>
          <t>STOCKHOLMS LÄN</t>
        </is>
      </c>
      <c r="E117" t="inlineStr">
        <is>
          <t>BOTKYRKA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63071-2023</t>
        </is>
      </c>
      <c r="B118" s="1" t="n">
        <v>45272</v>
      </c>
      <c r="C118" s="1" t="n">
        <v>45350</v>
      </c>
      <c r="D118" t="inlineStr">
        <is>
          <t>STOCKHOLMS LÄN</t>
        </is>
      </c>
      <c r="E118" t="inlineStr">
        <is>
          <t>BOTKYRKA</t>
        </is>
      </c>
      <c r="F118" t="inlineStr">
        <is>
          <t>Kommuner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64544-2023</t>
        </is>
      </c>
      <c r="B119" s="1" t="n">
        <v>45281</v>
      </c>
      <c r="C119" s="1" t="n">
        <v>45350</v>
      </c>
      <c r="D119" t="inlineStr">
        <is>
          <t>STOCKHOLMS LÄN</t>
        </is>
      </c>
      <c r="E119" t="inlineStr">
        <is>
          <t>BOTKYRKA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6978-2024</t>
        </is>
      </c>
      <c r="B120" s="1" t="n">
        <v>45343</v>
      </c>
      <c r="C120" s="1" t="n">
        <v>45350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>
      <c r="A121" t="inlineStr">
        <is>
          <t>A 6962-2024</t>
        </is>
      </c>
      <c r="B121" s="1" t="n">
        <v>45343</v>
      </c>
      <c r="C121" s="1" t="n">
        <v>45350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2024-02-28T12:33:03Z</dcterms:created>
  <dcterms:modified xmlns:dcterms="http://purl.org/dc/terms/" xmlns:xsi="http://www.w3.org/2001/XMLSchema-instance" xsi:type="dcterms:W3CDTF">2024-02-28T12:33:03Z</dcterms:modified>
</cp:coreProperties>
</file>