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46133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46133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46133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46133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46133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46133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46133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46133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46133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46133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46133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46133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46133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46133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46133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46133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46133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12842-2026</t>
        </is>
      </c>
      <c r="B19" s="1" t="n">
        <v>46092.44197916667</v>
      </c>
      <c r="C19" s="1" t="n">
        <v>46133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HYPERLINK("https://klasma.github.io/Logging_0127/artfynd/A 12842-2026 artfynd.xlsx", "A 12842-2026")</f>
        <v/>
      </c>
      <c r="T19">
        <f>HYPERLINK("https://klasma.github.io/Logging_0127/kartor/A 12842-2026 karta.png", "A 12842-2026")</f>
        <v/>
      </c>
      <c r="V19">
        <f>HYPERLINK("https://klasma.github.io/Logging_0127/klagomål/A 12842-2026 FSC-klagomål.docx", "A 12842-2026")</f>
        <v/>
      </c>
      <c r="W19">
        <f>HYPERLINK("https://klasma.github.io/Logging_0127/klagomålsmail/A 12842-2026 FSC-klagomål mail.docx", "A 12842-2026")</f>
        <v/>
      </c>
      <c r="X19">
        <f>HYPERLINK("https://klasma.github.io/Logging_0127/tillsyn/A 12842-2026 tillsynsbegäran.docx", "A 12842-2026")</f>
        <v/>
      </c>
      <c r="Y19">
        <f>HYPERLINK("https://klasma.github.io/Logging_0127/tillsynsmail/A 12842-2026 tillsynsbegäran mail.docx", "A 12842-2026")</f>
        <v/>
      </c>
    </row>
    <row r="20" ht="15" customHeight="1">
      <c r="A20" t="inlineStr">
        <is>
          <t>A 3726-2022</t>
        </is>
      </c>
      <c r="B20" s="1" t="n">
        <v>44586</v>
      </c>
      <c r="C20" s="1" t="n">
        <v>46133</v>
      </c>
      <c r="D20" t="inlineStr">
        <is>
          <t>STOCKHOLMS LÄN</t>
        </is>
      </c>
      <c r="E20" t="inlineStr">
        <is>
          <t>BOTKYRKA</t>
        </is>
      </c>
      <c r="G20" t="n">
        <v>17.1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HYPERLINK("https://klasma.github.io/Logging_0127/artfynd/A 3726-2022 artfynd.xlsx", "A 3726-2022")</f>
        <v/>
      </c>
      <c r="T20">
        <f>HYPERLINK("https://klasma.github.io/Logging_0127/kartor/A 3726-2022 karta.png", "A 3726-2022")</f>
        <v/>
      </c>
      <c r="V20">
        <f>HYPERLINK("https://klasma.github.io/Logging_0127/klagomål/A 3726-2022 FSC-klagomål.docx", "A 3726-2022")</f>
        <v/>
      </c>
      <c r="W20">
        <f>HYPERLINK("https://klasma.github.io/Logging_0127/klagomålsmail/A 3726-2022 FSC-klagomål mail.docx", "A 3726-2022")</f>
        <v/>
      </c>
      <c r="X20">
        <f>HYPERLINK("https://klasma.github.io/Logging_0127/tillsyn/A 3726-2022 tillsynsbegäran.docx", "A 3726-2022")</f>
        <v/>
      </c>
      <c r="Y20">
        <f>HYPERLINK("https://klasma.github.io/Logging_0127/tillsynsmail/A 3726-2022 tillsynsbegäran mail.docx", "A 3726-2022")</f>
        <v/>
      </c>
    </row>
    <row r="21" ht="15" customHeight="1">
      <c r="A21" t="inlineStr">
        <is>
          <t>A 12305-2026</t>
        </is>
      </c>
      <c r="B21" s="1" t="n">
        <v>46087.57827546296</v>
      </c>
      <c r="C21" s="1" t="n">
        <v>46133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HYPERLINK("https://klasma.github.io/Logging_0127/artfynd/A 12305-2026 artfynd.xlsx", "A 12305-2026")</f>
        <v/>
      </c>
      <c r="T21">
        <f>HYPERLINK("https://klasma.github.io/Logging_0127/kartor/A 12305-2026 karta.png", "A 12305-2026")</f>
        <v/>
      </c>
      <c r="V21">
        <f>HYPERLINK("https://klasma.github.io/Logging_0127/klagomål/A 12305-2026 FSC-klagomål.docx", "A 12305-2026")</f>
        <v/>
      </c>
      <c r="W21">
        <f>HYPERLINK("https://klasma.github.io/Logging_0127/klagomålsmail/A 12305-2026 FSC-klagomål mail.docx", "A 12305-2026")</f>
        <v/>
      </c>
      <c r="X21">
        <f>HYPERLINK("https://klasma.github.io/Logging_0127/tillsyn/A 12305-2026 tillsynsbegäran.docx", "A 12305-2026")</f>
        <v/>
      </c>
      <c r="Y21">
        <f>HYPERLINK("https://klasma.github.io/Logging_0127/tillsynsmail/A 12305-2026 tillsynsbegäran mail.docx", "A 12305-2026")</f>
        <v/>
      </c>
      <c r="Z21">
        <f>HYPERLINK("https://klasma.github.io/Logging_0127/fåglar/A 12305-2026 prioriterade fågelarter.docx", "A 12305-2026")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46133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46133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46133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46133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46133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46133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46133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46133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46133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46133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46133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46133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46133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46133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46133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46133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46133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46133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46133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46133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11876-2024</t>
        </is>
      </c>
      <c r="B42" s="1" t="n">
        <v>45376.47072916666</v>
      </c>
      <c r="C42" s="1" t="n">
        <v>46133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46133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30378-2024</t>
        </is>
      </c>
      <c r="B44" s="1" t="n">
        <v>45491</v>
      </c>
      <c r="C44" s="1" t="n">
        <v>46133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61320-2024</t>
        </is>
      </c>
      <c r="B45" s="1" t="n">
        <v>45646.33262731481</v>
      </c>
      <c r="C45" s="1" t="n">
        <v>46133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73194-2021</t>
        </is>
      </c>
      <c r="B46" s="1" t="n">
        <v>44550.61508101852</v>
      </c>
      <c r="C46" s="1" t="n">
        <v>46133</v>
      </c>
      <c r="D46" t="inlineStr">
        <is>
          <t>STOCKHOLMS LÄN</t>
        </is>
      </c>
      <c r="E46" t="inlineStr">
        <is>
          <t>BOTKYRKA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46133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16483-2023</t>
        </is>
      </c>
      <c r="B48" s="1" t="n">
        <v>45029</v>
      </c>
      <c r="C48" s="1" t="n">
        <v>46133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46133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49175-2025</t>
        </is>
      </c>
      <c r="B50" s="1" t="n">
        <v>45938.3790162037</v>
      </c>
      <c r="C50" s="1" t="n">
        <v>46133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50474-2025</t>
        </is>
      </c>
      <c r="B51" s="1" t="n">
        <v>45945.36526620371</v>
      </c>
      <c r="C51" s="1" t="n">
        <v>46133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46405-2022</t>
        </is>
      </c>
      <c r="B52" s="1" t="n">
        <v>44846</v>
      </c>
      <c r="C52" s="1" t="n">
        <v>46133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20649-2022</t>
        </is>
      </c>
      <c r="B53" s="1" t="n">
        <v>44700</v>
      </c>
      <c r="C53" s="1" t="n">
        <v>46133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45355.49099537037</v>
      </c>
      <c r="C54" s="1" t="n">
        <v>46133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45869-2022</t>
        </is>
      </c>
      <c r="B55" s="1" t="n">
        <v>44844</v>
      </c>
      <c r="C55" s="1" t="n">
        <v>46133</v>
      </c>
      <c r="D55" t="inlineStr">
        <is>
          <t>STOCKHOLMS LÄN</t>
        </is>
      </c>
      <c r="E55" t="inlineStr">
        <is>
          <t>BOTKYRKA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3686-2022</t>
        </is>
      </c>
      <c r="B56" s="1" t="n">
        <v>44586.57239583333</v>
      </c>
      <c r="C56" s="1" t="n">
        <v>46133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46133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15692-2023</t>
        </is>
      </c>
      <c r="B58" s="1" t="n">
        <v>45020</v>
      </c>
      <c r="C58" s="1" t="n">
        <v>46133</v>
      </c>
      <c r="D58" t="inlineStr">
        <is>
          <t>STOCKHOLMS LÄN</t>
        </is>
      </c>
      <c r="E58" t="inlineStr">
        <is>
          <t>BOTKYRKA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46133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9032-2023</t>
        </is>
      </c>
      <c r="B60" s="1" t="n">
        <v>44979</v>
      </c>
      <c r="C60" s="1" t="n">
        <v>46133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46133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48656-2022</t>
        </is>
      </c>
      <c r="B62" s="1" t="n">
        <v>44859.43993055556</v>
      </c>
      <c r="C62" s="1" t="n">
        <v>46133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38194-2022</t>
        </is>
      </c>
      <c r="B63" s="1" t="n">
        <v>44812</v>
      </c>
      <c r="C63" s="1" t="n">
        <v>46133</v>
      </c>
      <c r="D63" t="inlineStr">
        <is>
          <t>STOCKHOLMS LÄN</t>
        </is>
      </c>
      <c r="E63" t="inlineStr">
        <is>
          <t>BOTKYRKA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11867-2024</t>
        </is>
      </c>
      <c r="B64" s="1" t="n">
        <v>45376.45421296296</v>
      </c>
      <c r="C64" s="1" t="n">
        <v>46133</v>
      </c>
      <c r="D64" t="inlineStr">
        <is>
          <t>STOCKHOLMS LÄN</t>
        </is>
      </c>
      <c r="E64" t="inlineStr">
        <is>
          <t>BOTKYRKA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16149-2024</t>
        </is>
      </c>
      <c r="B65" s="1" t="n">
        <v>45406.56984953704</v>
      </c>
      <c r="C65" s="1" t="n">
        <v>46133</v>
      </c>
      <c r="D65" t="inlineStr">
        <is>
          <t>STOCKHOLMS LÄN</t>
        </is>
      </c>
      <c r="E65" t="inlineStr">
        <is>
          <t>BOTKYRKA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28983-2024</t>
        </is>
      </c>
      <c r="B66" s="1" t="n">
        <v>45481.47731481482</v>
      </c>
      <c r="C66" s="1" t="n">
        <v>46133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12306-2026</t>
        </is>
      </c>
      <c r="B67" s="1" t="n">
        <v>46087.57949074074</v>
      </c>
      <c r="C67" s="1" t="n">
        <v>46133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12294-2026</t>
        </is>
      </c>
      <c r="B68" s="1" t="n">
        <v>46087.55737268519</v>
      </c>
      <c r="C68" s="1" t="n">
        <v>46133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61225-2022</t>
        </is>
      </c>
      <c r="B69" s="1" t="n">
        <v>44915</v>
      </c>
      <c r="C69" s="1" t="n">
        <v>46133</v>
      </c>
      <c r="D69" t="inlineStr">
        <is>
          <t>STOCKHOLMS LÄN</t>
        </is>
      </c>
      <c r="E69" t="inlineStr">
        <is>
          <t>BOTKYRKA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46133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35197-2024</t>
        </is>
      </c>
      <c r="B71" s="1" t="n">
        <v>45530</v>
      </c>
      <c r="C71" s="1" t="n">
        <v>46133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46133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36097-2021</t>
        </is>
      </c>
      <c r="B73" s="1" t="n">
        <v>44389</v>
      </c>
      <c r="C73" s="1" t="n">
        <v>46133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16145-2024</t>
        </is>
      </c>
      <c r="B74" s="1" t="n">
        <v>45406.56561342593</v>
      </c>
      <c r="C74" s="1" t="n">
        <v>46133</v>
      </c>
      <c r="D74" t="inlineStr">
        <is>
          <t>STOCKHOLMS LÄN</t>
        </is>
      </c>
      <c r="E74" t="inlineStr">
        <is>
          <t>BOTKYRKA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61514-2022</t>
        </is>
      </c>
      <c r="B75" s="1" t="n">
        <v>44916</v>
      </c>
      <c r="C75" s="1" t="n">
        <v>46133</v>
      </c>
      <c r="D75" t="inlineStr">
        <is>
          <t>STOCKHOLMS LÄN</t>
        </is>
      </c>
      <c r="E75" t="inlineStr">
        <is>
          <t>BOTKYRKA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3021-2025</t>
        </is>
      </c>
      <c r="B76" s="1" t="n">
        <v>45678.57962962963</v>
      </c>
      <c r="C76" s="1" t="n">
        <v>46133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6059-2022</t>
        </is>
      </c>
      <c r="B77" s="1" t="n">
        <v>44599</v>
      </c>
      <c r="C77" s="1" t="n">
        <v>46133</v>
      </c>
      <c r="D77" t="inlineStr">
        <is>
          <t>STOCKHOLMS LÄN</t>
        </is>
      </c>
      <c r="E77" t="inlineStr">
        <is>
          <t>BOTKYRKA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37095-2021</t>
        </is>
      </c>
      <c r="B78" s="1" t="n">
        <v>44395</v>
      </c>
      <c r="C78" s="1" t="n">
        <v>46133</v>
      </c>
      <c r="D78" t="inlineStr">
        <is>
          <t>STOCKHOLMS LÄN</t>
        </is>
      </c>
      <c r="E78" t="inlineStr">
        <is>
          <t>BOTKYRKA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16142-2024</t>
        </is>
      </c>
      <c r="B79" s="1" t="n">
        <v>45406</v>
      </c>
      <c r="C79" s="1" t="n">
        <v>46133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2026-04-21T10:52:08Z</dcterms:created>
  <dcterms:modified xmlns:dcterms="http://purl.org/dc/terms/" xmlns:xsi="http://www.w3.org/2001/XMLSchema-instance" xsi:type="dcterms:W3CDTF">2026-04-21T10:52:08Z</dcterms:modified>
</cp:coreProperties>
</file>