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46197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46197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Dropptaggsvamp
Gulsparv
Motaggsvamp
Nordfladdermus
Spillkråka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46197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3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Mindre bastardsvärmare
Sexfläckig bastardsvärmare
Almsnabbvinge
Mindre tåtelsmygare
Igelkottsröksvamp
Mandelriska
Sotriska
Mattlummer
Vanlig groda
Vanlig padda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46197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s="1" t="n">
        <v>45936</v>
      </c>
      <c r="C6" s="1" t="n">
        <v>46197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Igelkott
Lammticka
Motaggsvamp
Skarp dropptaggsvamp
Svartvit taggsvamp
Tallticka
Talltita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  <c r="Z6">
        <f>HYPERLINK("https://klasma.github.io/Logging_0127/fåglar/A 48514-2025 prioriterade fågelarter.docx", "A 48514-2025")</f>
        <v/>
      </c>
    </row>
    <row r="7" ht="15" customHeight="1">
      <c r="A7" t="inlineStr">
        <is>
          <t>A 12818-2026</t>
        </is>
      </c>
      <c r="B7" s="1" t="n">
        <v>46092</v>
      </c>
      <c r="C7" s="1" t="n">
        <v>46197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0.9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Motaggsvamp
Vintertagging
Blomkålssvamp
Blåmossa
Grovticka
Nattskärra
Tofsmes
Kungsfågel</t>
        </is>
      </c>
      <c r="S7">
        <f>HYPERLINK("https://klasma.github.io/Logging_0127/artfynd/A 12818-2026 artfynd.xlsx", "A 12818-2026")</f>
        <v/>
      </c>
      <c r="T7">
        <f>HYPERLINK("https://klasma.github.io/Logging_0127/kartor/A 12818-2026 karta.png", "A 12818-2026")</f>
        <v/>
      </c>
      <c r="V7">
        <f>HYPERLINK("https://klasma.github.io/Logging_0127/klagomål/A 12818-2026 FSC-klagomål.docx", "A 12818-2026")</f>
        <v/>
      </c>
      <c r="W7">
        <f>HYPERLINK("https://klasma.github.io/Logging_0127/klagomålsmail/A 12818-2026 FSC-klagomål mail.docx", "A 12818-2026")</f>
        <v/>
      </c>
      <c r="X7">
        <f>HYPERLINK("https://klasma.github.io/Logging_0127/tillsyn/A 12818-2026 tillsynsbegäran.docx", "A 12818-2026")</f>
        <v/>
      </c>
      <c r="Y7">
        <f>HYPERLINK("https://klasma.github.io/Logging_0127/tillsynsmail/A 12818-2026 tillsynsbegäran mail.docx", "A 12818-2026")</f>
        <v/>
      </c>
      <c r="Z7">
        <f>HYPERLINK("https://klasma.github.io/Logging_0127/fåglar/A 12818-2026 prioriterade fågelarter.docx", "A 12818-2026")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46197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33801-2025</t>
        </is>
      </c>
      <c r="B9" s="1" t="n">
        <v>45842</v>
      </c>
      <c r="C9" s="1" t="n">
        <v>46197</v>
      </c>
      <c r="D9" t="inlineStr">
        <is>
          <t>STOCKHOLMS LÄN</t>
        </is>
      </c>
      <c r="E9" t="inlineStr">
        <is>
          <t>BOTKYRKA</t>
        </is>
      </c>
      <c r="G9" t="n">
        <v>1.3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Parkhättemossa
Fällmossa
Guldlockmossa
Stenporella
Strutbräken
Trubbfjädermossa</t>
        </is>
      </c>
      <c r="S9">
        <f>HYPERLINK("https://klasma.github.io/Logging_0127/artfynd/A 33801-2025 artfynd.xlsx", "A 33801-2025")</f>
        <v/>
      </c>
      <c r="T9">
        <f>HYPERLINK("https://klasma.github.io/Logging_0127/kartor/A 33801-2025 karta.png", "A 33801-2025")</f>
        <v/>
      </c>
      <c r="V9">
        <f>HYPERLINK("https://klasma.github.io/Logging_0127/klagomål/A 33801-2025 FSC-klagomål.docx", "A 33801-2025")</f>
        <v/>
      </c>
      <c r="W9">
        <f>HYPERLINK("https://klasma.github.io/Logging_0127/klagomålsmail/A 33801-2025 FSC-klagomål mail.docx", "A 33801-2025")</f>
        <v/>
      </c>
      <c r="X9">
        <f>HYPERLINK("https://klasma.github.io/Logging_0127/tillsyn/A 33801-2025 tillsynsbegäran.docx", "A 33801-2025")</f>
        <v/>
      </c>
      <c r="Y9">
        <f>HYPERLINK("https://klasma.github.io/Logging_0127/tillsynsmail/A 33801-2025 tillsynsbegäran mail.docx", "A 33801-2025")</f>
        <v/>
      </c>
    </row>
    <row r="10" ht="15" customHeight="1">
      <c r="A10" t="inlineStr">
        <is>
          <t>A 45595-2025</t>
        </is>
      </c>
      <c r="B10" s="1" t="n">
        <v>45922</v>
      </c>
      <c r="C10" s="1" t="n">
        <v>46197</v>
      </c>
      <c r="D10" t="inlineStr">
        <is>
          <t>STOCKHOLMS LÄN</t>
        </is>
      </c>
      <c r="E10" t="inlineStr">
        <is>
          <t>BOTKYRKA</t>
        </is>
      </c>
      <c r="G10" t="n">
        <v>2.2</v>
      </c>
      <c r="H10" t="n">
        <v>5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Hasselsnok
Entita
Gulsparv
Tibast
Grönsiska
Kungsfågel</t>
        </is>
      </c>
      <c r="S10">
        <f>HYPERLINK("https://klasma.github.io/Logging_0127/artfynd/A 45595-2025 artfynd.xlsx", "A 45595-2025")</f>
        <v/>
      </c>
      <c r="T10">
        <f>HYPERLINK("https://klasma.github.io/Logging_0127/kartor/A 45595-2025 karta.png", "A 45595-2025")</f>
        <v/>
      </c>
      <c r="V10">
        <f>HYPERLINK("https://klasma.github.io/Logging_0127/klagomål/A 45595-2025 FSC-klagomål.docx", "A 45595-2025")</f>
        <v/>
      </c>
      <c r="W10">
        <f>HYPERLINK("https://klasma.github.io/Logging_0127/klagomålsmail/A 45595-2025 FSC-klagomål mail.docx", "A 45595-2025")</f>
        <v/>
      </c>
      <c r="X10">
        <f>HYPERLINK("https://klasma.github.io/Logging_0127/tillsyn/A 45595-2025 tillsynsbegäran.docx", "A 45595-2025")</f>
        <v/>
      </c>
      <c r="Y10">
        <f>HYPERLINK("https://klasma.github.io/Logging_0127/tillsynsmail/A 45595-2025 tillsynsbegäran mail.docx", "A 45595-2025")</f>
        <v/>
      </c>
      <c r="Z10">
        <f>HYPERLINK("https://klasma.github.io/Logging_0127/fåglar/A 45595-2025 prioriterade fågelarter.docx", "A 45595-2025")</f>
        <v/>
      </c>
    </row>
    <row r="11" ht="15" customHeight="1">
      <c r="A11" t="inlineStr">
        <is>
          <t>A 43900-2021</t>
        </is>
      </c>
      <c r="B11" s="1" t="n">
        <v>44434</v>
      </c>
      <c r="C11" s="1" t="n">
        <v>46197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3.1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Fjällig taggsvamp s.str.
Motaggsvamp
Tallticka
Ullticka
Brandticka</t>
        </is>
      </c>
      <c r="S11">
        <f>HYPERLINK("https://klasma.github.io/Logging_0127/artfynd/A 43900-2021 artfynd.xlsx", "A 43900-2021")</f>
        <v/>
      </c>
      <c r="T11">
        <f>HYPERLINK("https://klasma.github.io/Logging_0127/kartor/A 43900-2021 karta.png", "A 43900-2021")</f>
        <v/>
      </c>
      <c r="V11">
        <f>HYPERLINK("https://klasma.github.io/Logging_0127/klagomål/A 43900-2021 FSC-klagomål.docx", "A 43900-2021")</f>
        <v/>
      </c>
      <c r="W11">
        <f>HYPERLINK("https://klasma.github.io/Logging_0127/klagomålsmail/A 43900-2021 FSC-klagomål mail.docx", "A 43900-2021")</f>
        <v/>
      </c>
      <c r="X11">
        <f>HYPERLINK("https://klasma.github.io/Logging_0127/tillsyn/A 43900-2021 tillsynsbegäran.docx", "A 43900-2021")</f>
        <v/>
      </c>
      <c r="Y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s="1" t="n">
        <v>46176</v>
      </c>
      <c r="C12" s="1" t="n">
        <v>46197</v>
      </c>
      <c r="D12" t="inlineStr">
        <is>
          <t>STOCKHOLMS LÄN</t>
        </is>
      </c>
      <c r="E12" t="inlineStr">
        <is>
          <t>BOTKYRKA</t>
        </is>
      </c>
      <c r="G12" t="n">
        <v>3.2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Tallticka
Blåmossa
Spillkråka
Gröngöling</t>
        </is>
      </c>
      <c r="S12">
        <f>HYPERLINK("https://klasma.github.io/Logging_0127/artfynd/A 25306-2026 artfynd.xlsx", "A 25306-2026")</f>
        <v/>
      </c>
      <c r="T12">
        <f>HYPERLINK("https://klasma.github.io/Logging_0127/kartor/A 25306-2026 karta.png", "A 25306-2026")</f>
        <v/>
      </c>
      <c r="V12">
        <f>HYPERLINK("https://klasma.github.io/Logging_0127/klagomål/A 25306-2026 FSC-klagomål.docx", "A 25306-2026")</f>
        <v/>
      </c>
      <c r="W12">
        <f>HYPERLINK("https://klasma.github.io/Logging_0127/klagomålsmail/A 25306-2026 FSC-klagomål mail.docx", "A 25306-2026")</f>
        <v/>
      </c>
      <c r="X12">
        <f>HYPERLINK("https://klasma.github.io/Logging_0127/tillsyn/A 25306-2026 tillsynsbegäran.docx", "A 25306-2026")</f>
        <v/>
      </c>
      <c r="Y12">
        <f>HYPERLINK("https://klasma.github.io/Logging_0127/tillsynsmail/A 25306-2026 tillsynsbegäran mail.docx", "A 25306-2026")</f>
        <v/>
      </c>
      <c r="Z12">
        <f>HYPERLINK("https://klasma.github.io/Logging_0127/fåglar/A 25306-2026 prioriterade fågelarter.docx", "A 25306-2026")</f>
        <v/>
      </c>
    </row>
    <row r="13" ht="15" customHeight="1">
      <c r="A13" t="inlineStr">
        <is>
          <t>A 14220-2025</t>
        </is>
      </c>
      <c r="B13" s="1" t="n">
        <v>45740</v>
      </c>
      <c r="C13" s="1" t="n">
        <v>46197</v>
      </c>
      <c r="D13" t="inlineStr">
        <is>
          <t>STOCKHOLMS LÄN</t>
        </is>
      </c>
      <c r="E13" t="inlineStr">
        <is>
          <t>BOTKYRKA</t>
        </is>
      </c>
      <c r="G13" t="n">
        <v>3.3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Tibast
Blåsippa</t>
        </is>
      </c>
      <c r="S13">
        <f>HYPERLINK("https://klasma.github.io/Logging_0127/artfynd/A 14220-2025 artfynd.xlsx", "A 14220-2025")</f>
        <v/>
      </c>
      <c r="T13">
        <f>HYPERLINK("https://klasma.github.io/Logging_0127/kartor/A 14220-2025 karta.png", "A 14220-2025")</f>
        <v/>
      </c>
      <c r="U13">
        <f>HYPERLINK("https://klasma.github.io/Logging_0127/knärot/A 14220-2025 karta knärot.png", "A 14220-2025")</f>
        <v/>
      </c>
      <c r="V13">
        <f>HYPERLINK("https://klasma.github.io/Logging_0127/klagomål/A 14220-2025 FSC-klagomål.docx", "A 14220-2025")</f>
        <v/>
      </c>
      <c r="W13">
        <f>HYPERLINK("https://klasma.github.io/Logging_0127/klagomålsmail/A 14220-2025 FSC-klagomål mail.docx", "A 14220-2025")</f>
        <v/>
      </c>
      <c r="X13">
        <f>HYPERLINK("https://klasma.github.io/Logging_0127/tillsyn/A 14220-2025 tillsynsbegäran.docx", "A 14220-2025")</f>
        <v/>
      </c>
      <c r="Y13">
        <f>HYPERLINK("https://klasma.github.io/Logging_0127/tillsynsmail/A 14220-2025 tillsynsbegäran mail.docx", "A 14220-2025")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46197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Bårdlav
Grön sköldmossa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46197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Fjällig taggsvamp s.str.
Tallticka
Fläcknycklar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33015-2021</t>
        </is>
      </c>
      <c r="B16" s="1" t="n">
        <v>44376</v>
      </c>
      <c r="C16" s="1" t="n">
        <v>46197</v>
      </c>
      <c r="D16" t="inlineStr">
        <is>
          <t>STOCKHOLMS LÄN</t>
        </is>
      </c>
      <c r="E16" t="inlineStr">
        <is>
          <t>BOTKYRKA</t>
        </is>
      </c>
      <c r="G16" t="n">
        <v>48.7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HYPERLINK("https://klasma.github.io/Logging_0127/artfynd/A 33015-2021 artfynd.xlsx", "A 33015-2021")</f>
        <v/>
      </c>
      <c r="T16">
        <f>HYPERLINK("https://klasma.github.io/Logging_0127/kartor/A 33015-2021 karta.png", "A 33015-2021")</f>
        <v/>
      </c>
      <c r="V16">
        <f>HYPERLINK("https://klasma.github.io/Logging_0127/klagomål/A 33015-2021 FSC-klagomål.docx", "A 33015-2021")</f>
        <v/>
      </c>
      <c r="W16">
        <f>HYPERLINK("https://klasma.github.io/Logging_0127/klagomålsmail/A 33015-2021 FSC-klagomål mail.docx", "A 33015-2021")</f>
        <v/>
      </c>
      <c r="X16">
        <f>HYPERLINK("https://klasma.github.io/Logging_0127/tillsyn/A 33015-2021 tillsynsbegäran.docx", "A 33015-2021")</f>
        <v/>
      </c>
      <c r="Y16">
        <f>HYPERLINK("https://klasma.github.io/Logging_0127/tillsynsmail/A 33015-2021 tillsynsbegäran mail.docx", "A 33015-2021")</f>
        <v/>
      </c>
      <c r="Z16">
        <f>HYPERLINK("https://klasma.github.io/Logging_0127/fåglar/A 33015-2021 prioriterade fågelarter.docx", "A 33015-2021")</f>
        <v/>
      </c>
    </row>
    <row r="17" ht="15" customHeight="1">
      <c r="A17" t="inlineStr">
        <is>
          <t>A 15905-2022</t>
        </is>
      </c>
      <c r="B17" s="1" t="n">
        <v>44664</v>
      </c>
      <c r="C17" s="1" t="n">
        <v>46197</v>
      </c>
      <c r="D17" t="inlineStr">
        <is>
          <t>STOCKHOLMS LÄN</t>
        </is>
      </c>
      <c r="E17" t="inlineStr">
        <is>
          <t>BOTKYRKA</t>
        </is>
      </c>
      <c r="G17" t="n">
        <v>11.2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Svartvit taggsvamp</t>
        </is>
      </c>
      <c r="S17">
        <f>HYPERLINK("https://klasma.github.io/Logging_0127/artfynd/A 15905-2022 artfynd.xlsx", "A 15905-2022")</f>
        <v/>
      </c>
      <c r="T17">
        <f>HYPERLINK("https://klasma.github.io/Logging_0127/kartor/A 15905-2022 karta.png", "A 15905-2022")</f>
        <v/>
      </c>
      <c r="V17">
        <f>HYPERLINK("https://klasma.github.io/Logging_0127/klagomål/A 15905-2022 FSC-klagomål.docx", "A 15905-2022")</f>
        <v/>
      </c>
      <c r="W17">
        <f>HYPERLINK("https://klasma.github.io/Logging_0127/klagomålsmail/A 15905-2022 FSC-klagomål mail.docx", "A 15905-2022")</f>
        <v/>
      </c>
      <c r="X17">
        <f>HYPERLINK("https://klasma.github.io/Logging_0127/tillsyn/A 15905-2022 tillsynsbegäran.docx", "A 15905-2022")</f>
        <v/>
      </c>
      <c r="Y17">
        <f>HYPERLINK("https://klasma.github.io/Logging_0127/tillsynsmail/A 15905-2022 tillsynsbegäran mail.docx", "A 15905-2022")</f>
        <v/>
      </c>
    </row>
    <row r="18" ht="15" customHeight="1">
      <c r="A18" t="inlineStr">
        <is>
          <t>A 50474-2025</t>
        </is>
      </c>
      <c r="B18" s="1" t="n">
        <v>45945</v>
      </c>
      <c r="C18" s="1" t="n">
        <v>46197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HYPERLINK("https://klasma.github.io/Logging_0127/artfynd/A 50474-2025 artfynd.xlsx", "A 50474-2025")</f>
        <v/>
      </c>
      <c r="T18">
        <f>HYPERLINK("https://klasma.github.io/Logging_0127/kartor/A 50474-2025 karta.png", "A 50474-2025")</f>
        <v/>
      </c>
      <c r="V18">
        <f>HYPERLINK("https://klasma.github.io/Logging_0127/klagomål/A 50474-2025 FSC-klagomål.docx", "A 50474-2025")</f>
        <v/>
      </c>
      <c r="W18">
        <f>HYPERLINK("https://klasma.github.io/Logging_0127/klagomålsmail/A 50474-2025 FSC-klagomål mail.docx", "A 50474-2025")</f>
        <v/>
      </c>
      <c r="X18">
        <f>HYPERLINK("https://klasma.github.io/Logging_0127/tillsyn/A 50474-2025 tillsynsbegäran.docx", "A 50474-2025")</f>
        <v/>
      </c>
      <c r="Y18">
        <f>HYPERLINK("https://klasma.github.io/Logging_0127/tillsynsmail/A 50474-2025 tillsynsbegäran mail.docx", "A 50474-2025")</f>
        <v/>
      </c>
    </row>
    <row r="19" ht="15" customHeight="1">
      <c r="A19" t="inlineStr">
        <is>
          <t>A 60406-2025</t>
        </is>
      </c>
      <c r="B19" s="1" t="n">
        <v>45995</v>
      </c>
      <c r="C19" s="1" t="n">
        <v>46197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Mindre märgborre</t>
        </is>
      </c>
      <c r="S19">
        <f>HYPERLINK("https://klasma.github.io/Logging_0127/artfynd/A 60406-2025 artfynd.xlsx", "A 60406-2025")</f>
        <v/>
      </c>
      <c r="T19">
        <f>HYPERLINK("https://klasma.github.io/Logging_0127/kartor/A 60406-2025 karta.png", "A 60406-2025")</f>
        <v/>
      </c>
      <c r="V19">
        <f>HYPERLINK("https://klasma.github.io/Logging_0127/klagomål/A 60406-2025 FSC-klagomål.docx", "A 60406-2025")</f>
        <v/>
      </c>
      <c r="W19">
        <f>HYPERLINK("https://klasma.github.io/Logging_0127/klagomålsmail/A 60406-2025 FSC-klagomål mail.docx", "A 60406-2025")</f>
        <v/>
      </c>
      <c r="X19">
        <f>HYPERLINK("https://klasma.github.io/Logging_0127/tillsyn/A 60406-2025 tillsynsbegäran.docx", "A 60406-2025")</f>
        <v/>
      </c>
      <c r="Y19">
        <f>HYPERLINK("https://klasma.github.io/Logging_0127/tillsynsmail/A 60406-2025 tillsynsbegäran mail.docx", "A 60406-2025")</f>
        <v/>
      </c>
    </row>
    <row r="20" ht="15" customHeight="1">
      <c r="A20" t="inlineStr">
        <is>
          <t>A 24799-2026</t>
        </is>
      </c>
      <c r="B20" s="1" t="n">
        <v>46171</v>
      </c>
      <c r="C20" s="1" t="n">
        <v>46197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Spillkråka</t>
        </is>
      </c>
      <c r="S20">
        <f>HYPERLINK("https://klasma.github.io/Logging_0127/artfynd/A 24799-2026 artfynd.xlsx", "A 24799-2026")</f>
        <v/>
      </c>
      <c r="T20">
        <f>HYPERLINK("https://klasma.github.io/Logging_0127/kartor/A 24799-2026 karta.png", "A 24799-2026")</f>
        <v/>
      </c>
      <c r="V20">
        <f>HYPERLINK("https://klasma.github.io/Logging_0127/klagomål/A 24799-2026 FSC-klagomål.docx", "A 24799-2026")</f>
        <v/>
      </c>
      <c r="W20">
        <f>HYPERLINK("https://klasma.github.io/Logging_0127/klagomålsmail/A 24799-2026 FSC-klagomål mail.docx", "A 24799-2026")</f>
        <v/>
      </c>
      <c r="X20">
        <f>HYPERLINK("https://klasma.github.io/Logging_0127/tillsyn/A 24799-2026 tillsynsbegäran.docx", "A 24799-2026")</f>
        <v/>
      </c>
      <c r="Y20">
        <f>HYPERLINK("https://klasma.github.io/Logging_0127/tillsynsmail/A 24799-2026 tillsynsbegäran mail.docx", "A 24799-2026")</f>
        <v/>
      </c>
      <c r="Z20">
        <f>HYPERLINK("https://klasma.github.io/Logging_0127/fåglar/A 24799-2026 prioriterade fågelarter.docx", "A 24799-2026")</f>
        <v/>
      </c>
    </row>
    <row r="21" ht="15" customHeight="1">
      <c r="A21" t="inlineStr">
        <is>
          <t>A 25315-2026</t>
        </is>
      </c>
      <c r="B21" s="1" t="n">
        <v>46176</v>
      </c>
      <c r="C21" s="1" t="n">
        <v>46197</v>
      </c>
      <c r="D21" t="inlineStr">
        <is>
          <t>STOCKHOLMS LÄN</t>
        </is>
      </c>
      <c r="E21" t="inlineStr">
        <is>
          <t>BOTKYRKA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Tofsmes</t>
        </is>
      </c>
      <c r="S21">
        <f>HYPERLINK("https://klasma.github.io/Logging_0127/artfynd/A 25315-2026 artfynd.xlsx", "A 25315-2026")</f>
        <v/>
      </c>
      <c r="T21">
        <f>HYPERLINK("https://klasma.github.io/Logging_0127/kartor/A 25315-2026 karta.png", "A 25315-2026")</f>
        <v/>
      </c>
      <c r="V21">
        <f>HYPERLINK("https://klasma.github.io/Logging_0127/klagomål/A 25315-2026 FSC-klagomål.docx", "A 25315-2026")</f>
        <v/>
      </c>
      <c r="W21">
        <f>HYPERLINK("https://klasma.github.io/Logging_0127/klagomålsmail/A 25315-2026 FSC-klagomål mail.docx", "A 25315-2026")</f>
        <v/>
      </c>
      <c r="X21">
        <f>HYPERLINK("https://klasma.github.io/Logging_0127/tillsyn/A 25315-2026 tillsynsbegäran.docx", "A 25315-2026")</f>
        <v/>
      </c>
      <c r="Y21">
        <f>HYPERLINK("https://klasma.github.io/Logging_0127/tillsynsmail/A 25315-2026 tillsynsbegäran mail.docx", "A 25315-2026")</f>
        <v/>
      </c>
      <c r="Z21">
        <f>HYPERLINK("https://klasma.github.io/Logging_0127/fåglar/A 25315-2026 prioriterade fågelarter.docx", "A 25315-2026")</f>
        <v/>
      </c>
    </row>
    <row r="22" ht="15" customHeight="1">
      <c r="A22" t="inlineStr">
        <is>
          <t>A 25319-2026</t>
        </is>
      </c>
      <c r="B22" s="1" t="n">
        <v>46176</v>
      </c>
      <c r="C22" s="1" t="n">
        <v>46197</v>
      </c>
      <c r="D22" t="inlineStr">
        <is>
          <t>STOCKHOLMS LÄN</t>
        </is>
      </c>
      <c r="E22" t="inlineStr">
        <is>
          <t>BOTKYRKA</t>
        </is>
      </c>
      <c r="G22" t="n">
        <v>1.6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Grovticka
Spillkråka</t>
        </is>
      </c>
      <c r="S22">
        <f>HYPERLINK("https://klasma.github.io/Logging_0127/artfynd/A 25319-2026 artfynd.xlsx", "A 25319-2026")</f>
        <v/>
      </c>
      <c r="T22">
        <f>HYPERLINK("https://klasma.github.io/Logging_0127/kartor/A 25319-2026 karta.png", "A 25319-2026")</f>
        <v/>
      </c>
      <c r="V22">
        <f>HYPERLINK("https://klasma.github.io/Logging_0127/klagomål/A 25319-2026 FSC-klagomål.docx", "A 25319-2026")</f>
        <v/>
      </c>
      <c r="W22">
        <f>HYPERLINK("https://klasma.github.io/Logging_0127/klagomålsmail/A 25319-2026 FSC-klagomål mail.docx", "A 25319-2026")</f>
        <v/>
      </c>
      <c r="X22">
        <f>HYPERLINK("https://klasma.github.io/Logging_0127/tillsyn/A 25319-2026 tillsynsbegäran.docx", "A 25319-2026")</f>
        <v/>
      </c>
      <c r="Y22">
        <f>HYPERLINK("https://klasma.github.io/Logging_0127/tillsynsmail/A 25319-2026 tillsynsbegäran mail.docx", "A 25319-2026")</f>
        <v/>
      </c>
      <c r="Z22">
        <f>HYPERLINK("https://klasma.github.io/Logging_0127/fåglar/A 25319-2026 prioriterade fågelarter.docx", "A 25319-2026")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46197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56816-2021</t>
        </is>
      </c>
      <c r="B24" s="1" t="n">
        <v>44481</v>
      </c>
      <c r="C24" s="1" t="n">
        <v>46197</v>
      </c>
      <c r="D24" t="inlineStr">
        <is>
          <t>STOCKHOLMS LÄN</t>
        </is>
      </c>
      <c r="E24" t="inlineStr">
        <is>
          <t>BOTKYRKA</t>
        </is>
      </c>
      <c r="G24" t="n">
        <v>10.9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HYPERLINK("https://klasma.github.io/Logging_0127/artfynd/A 56816-2021 artfynd.xlsx", "A 56816-2021")</f>
        <v/>
      </c>
      <c r="T24">
        <f>HYPERLINK("https://klasma.github.io/Logging_0127/kartor/A 56816-2021 karta.png", "A 56816-2021")</f>
        <v/>
      </c>
      <c r="V24">
        <f>HYPERLINK("https://klasma.github.io/Logging_0127/klagomål/A 56816-2021 FSC-klagomål.docx", "A 56816-2021")</f>
        <v/>
      </c>
      <c r="W24">
        <f>HYPERLINK("https://klasma.github.io/Logging_0127/klagomålsmail/A 56816-2021 FSC-klagomål mail.docx", "A 56816-2021")</f>
        <v/>
      </c>
      <c r="X24">
        <f>HYPERLINK("https://klasma.github.io/Logging_0127/tillsyn/A 56816-2021 tillsynsbegäran.docx", "A 56816-2021")</f>
        <v/>
      </c>
      <c r="Y24">
        <f>HYPERLINK("https://klasma.github.io/Logging_0127/tillsynsmail/A 56816-2021 tillsynsbegäran mail.docx", "A 56816-2021")</f>
        <v/>
      </c>
      <c r="Z24">
        <f>HYPERLINK("https://klasma.github.io/Logging_0127/fåglar/A 56816-2021 prioriterade fågelarter.docx", "A 56816-2021")</f>
        <v/>
      </c>
    </row>
    <row r="25" ht="15" customHeight="1">
      <c r="A25" t="inlineStr">
        <is>
          <t>A 35492-2021</t>
        </is>
      </c>
      <c r="B25" s="1" t="n">
        <v>44385</v>
      </c>
      <c r="C25" s="1" t="n">
        <v>46197</v>
      </c>
      <c r="D25" t="inlineStr">
        <is>
          <t>STOCKHOLMS LÄN</t>
        </is>
      </c>
      <c r="E25" t="inlineStr">
        <is>
          <t>BOTKYRKA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Nattskärra</t>
        </is>
      </c>
      <c r="S25">
        <f>HYPERLINK("https://klasma.github.io/Logging_0127/artfynd/A 35492-2021 artfynd.xlsx", "A 35492-2021")</f>
        <v/>
      </c>
      <c r="T25">
        <f>HYPERLINK("https://klasma.github.io/Logging_0127/kartor/A 35492-2021 karta.png", "A 35492-2021")</f>
        <v/>
      </c>
      <c r="V25">
        <f>HYPERLINK("https://klasma.github.io/Logging_0127/klagomål/A 35492-2021 FSC-klagomål.docx", "A 35492-2021")</f>
        <v/>
      </c>
      <c r="W25">
        <f>HYPERLINK("https://klasma.github.io/Logging_0127/klagomålsmail/A 35492-2021 FSC-klagomål mail.docx", "A 35492-2021")</f>
        <v/>
      </c>
      <c r="X25">
        <f>HYPERLINK("https://klasma.github.io/Logging_0127/tillsyn/A 35492-2021 tillsynsbegäran.docx", "A 35492-2021")</f>
        <v/>
      </c>
      <c r="Y25">
        <f>HYPERLINK("https://klasma.github.io/Logging_0127/tillsynsmail/A 35492-2021 tillsynsbegäran mail.docx", "A 35492-2021")</f>
        <v/>
      </c>
      <c r="Z25">
        <f>HYPERLINK("https://klasma.github.io/Logging_0127/fåglar/A 35492-2021 prioriterade fågelarter.docx", "A 35492-2021")</f>
        <v/>
      </c>
    </row>
    <row r="26" ht="15" customHeight="1">
      <c r="A26" t="inlineStr">
        <is>
          <t>A 28983-2024</t>
        </is>
      </c>
      <c r="B26" s="1" t="n">
        <v>45481</v>
      </c>
      <c r="C26" s="1" t="n">
        <v>46197</v>
      </c>
      <c r="D26" t="inlineStr">
        <is>
          <t>STOCKHOLMS LÄN</t>
        </is>
      </c>
      <c r="E26" t="inlineStr">
        <is>
          <t>BOTKYRKA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28983-2024 artfynd.xlsx", "A 28983-2024")</f>
        <v/>
      </c>
      <c r="T26">
        <f>HYPERLINK("https://klasma.github.io/Logging_0127/kartor/A 28983-2024 karta.png", "A 28983-2024")</f>
        <v/>
      </c>
      <c r="V26">
        <f>HYPERLINK("https://klasma.github.io/Logging_0127/klagomål/A 28983-2024 FSC-klagomål.docx", "A 28983-2024")</f>
        <v/>
      </c>
      <c r="W26">
        <f>HYPERLINK("https://klasma.github.io/Logging_0127/klagomålsmail/A 28983-2024 FSC-klagomål mail.docx", "A 28983-2024")</f>
        <v/>
      </c>
      <c r="X26">
        <f>HYPERLINK("https://klasma.github.io/Logging_0127/tillsyn/A 28983-2024 tillsynsbegäran.docx", "A 28983-2024")</f>
        <v/>
      </c>
      <c r="Y26">
        <f>HYPERLINK("https://klasma.github.io/Logging_0127/tillsynsmail/A 28983-2024 tillsynsbegäran mail.docx", "A 28983-2024")</f>
        <v/>
      </c>
    </row>
    <row r="27" ht="15" customHeight="1">
      <c r="A27" t="inlineStr">
        <is>
          <t>A 30378-2024</t>
        </is>
      </c>
      <c r="B27" s="1" t="n">
        <v>45491</v>
      </c>
      <c r="C27" s="1" t="n">
        <v>46197</v>
      </c>
      <c r="D27" t="inlineStr">
        <is>
          <t>STOCKHOLMS LÄN</t>
        </is>
      </c>
      <c r="E27" t="inlineStr">
        <is>
          <t>BOTKYRKA</t>
        </is>
      </c>
      <c r="G27" t="n">
        <v>0.3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HYPERLINK("https://klasma.github.io/Logging_0127/artfynd/A 30378-2024 artfynd.xlsx", "A 30378-2024")</f>
        <v/>
      </c>
      <c r="T27">
        <f>HYPERLINK("https://klasma.github.io/Logging_0127/kartor/A 30378-2024 karta.png", "A 30378-2024")</f>
        <v/>
      </c>
      <c r="V27">
        <f>HYPERLINK("https://klasma.github.io/Logging_0127/klagomål/A 30378-2024 FSC-klagomål.docx", "A 30378-2024")</f>
        <v/>
      </c>
      <c r="W27">
        <f>HYPERLINK("https://klasma.github.io/Logging_0127/klagomålsmail/A 30378-2024 FSC-klagomål mail.docx", "A 30378-2024")</f>
        <v/>
      </c>
      <c r="X27">
        <f>HYPERLINK("https://klasma.github.io/Logging_0127/tillsyn/A 30378-2024 tillsynsbegäran.docx", "A 30378-2024")</f>
        <v/>
      </c>
      <c r="Y27">
        <f>HYPERLINK("https://klasma.github.io/Logging_0127/tillsynsmail/A 30378-2024 tillsynsbegäran mail.docx", "A 30378-2024")</f>
        <v/>
      </c>
    </row>
    <row r="28" ht="15" customHeight="1">
      <c r="A28" t="inlineStr">
        <is>
          <t>A 61514-2022</t>
        </is>
      </c>
      <c r="B28" s="1" t="n">
        <v>44916</v>
      </c>
      <c r="C28" s="1" t="n">
        <v>46197</v>
      </c>
      <c r="D28" t="inlineStr">
        <is>
          <t>STOCKHOLMS LÄN</t>
        </is>
      </c>
      <c r="E28" t="inlineStr">
        <is>
          <t>BOTKYRKA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HYPERLINK("https://klasma.github.io/Logging_0127/artfynd/A 61514-2022 artfynd.xlsx", "A 61514-2022")</f>
        <v/>
      </c>
      <c r="T28">
        <f>HYPERLINK("https://klasma.github.io/Logging_0127/kartor/A 61514-2022 karta.png", "A 61514-2022")</f>
        <v/>
      </c>
      <c r="V28">
        <f>HYPERLINK("https://klasma.github.io/Logging_0127/klagomål/A 61514-2022 FSC-klagomål.docx", "A 61514-2022")</f>
        <v/>
      </c>
      <c r="W28">
        <f>HYPERLINK("https://klasma.github.io/Logging_0127/klagomålsmail/A 61514-2022 FSC-klagomål mail.docx", "A 61514-2022")</f>
        <v/>
      </c>
      <c r="X28">
        <f>HYPERLINK("https://klasma.github.io/Logging_0127/tillsyn/A 61514-2022 tillsynsbegäran.docx", "A 61514-2022")</f>
        <v/>
      </c>
      <c r="Y28">
        <f>HYPERLINK("https://klasma.github.io/Logging_0127/tillsynsmail/A 61514-2022 tillsynsbegäran mail.docx", "A 61514-2022")</f>
        <v/>
      </c>
    </row>
    <row r="29" ht="15" customHeight="1">
      <c r="A29" t="inlineStr">
        <is>
          <t>A 14214-2025</t>
        </is>
      </c>
      <c r="B29" s="1" t="n">
        <v>45740</v>
      </c>
      <c r="C29" s="1" t="n">
        <v>46197</v>
      </c>
      <c r="D29" t="inlineStr">
        <is>
          <t>STOCKHOLMS LÄN</t>
        </is>
      </c>
      <c r="E29" t="inlineStr">
        <is>
          <t>BOTKYRKA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Stare</t>
        </is>
      </c>
      <c r="S29">
        <f>HYPERLINK("https://klasma.github.io/Logging_0127/artfynd/A 14214-2025 artfynd.xlsx", "A 14214-2025")</f>
        <v/>
      </c>
      <c r="T29">
        <f>HYPERLINK("https://klasma.github.io/Logging_0127/kartor/A 14214-2025 karta.png", "A 14214-2025")</f>
        <v/>
      </c>
      <c r="V29">
        <f>HYPERLINK("https://klasma.github.io/Logging_0127/klagomål/A 14214-2025 FSC-klagomål.docx", "A 14214-2025")</f>
        <v/>
      </c>
      <c r="W29">
        <f>HYPERLINK("https://klasma.github.io/Logging_0127/klagomålsmail/A 14214-2025 FSC-klagomål mail.docx", "A 14214-2025")</f>
        <v/>
      </c>
      <c r="X29">
        <f>HYPERLINK("https://klasma.github.io/Logging_0127/tillsyn/A 14214-2025 tillsynsbegäran.docx", "A 14214-2025")</f>
        <v/>
      </c>
      <c r="Y29">
        <f>HYPERLINK("https://klasma.github.io/Logging_0127/tillsynsmail/A 14214-2025 tillsynsbegäran mail.docx", "A 14214-2025")</f>
        <v/>
      </c>
      <c r="Z29">
        <f>HYPERLINK("https://klasma.github.io/Logging_0127/fåglar/A 14214-2025 prioriterade fågelarter.docx", "A 14214-2025")</f>
        <v/>
      </c>
    </row>
    <row r="30" ht="15" customHeight="1">
      <c r="A30" t="inlineStr">
        <is>
          <t>A 12305-2026</t>
        </is>
      </c>
      <c r="B30" s="1" t="n">
        <v>46087</v>
      </c>
      <c r="C30" s="1" t="n">
        <v>46197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HYPERLINK("https://klasma.github.io/Logging_0127/artfynd/A 12305-2026 artfynd.xlsx", "A 12305-2026")</f>
        <v/>
      </c>
      <c r="T30">
        <f>HYPERLINK("https://klasma.github.io/Logging_0127/kartor/A 12305-2026 karta.png", "A 12305-2026")</f>
        <v/>
      </c>
      <c r="V30">
        <f>HYPERLINK("https://klasma.github.io/Logging_0127/klagomål/A 12305-2026 FSC-klagomål.docx", "A 12305-2026")</f>
        <v/>
      </c>
      <c r="W30">
        <f>HYPERLINK("https://klasma.github.io/Logging_0127/klagomålsmail/A 12305-2026 FSC-klagomål mail.docx", "A 12305-2026")</f>
        <v/>
      </c>
      <c r="X30">
        <f>HYPERLINK("https://klasma.github.io/Logging_0127/tillsyn/A 12305-2026 tillsynsbegäran.docx", "A 12305-2026")</f>
        <v/>
      </c>
      <c r="Y30">
        <f>HYPERLINK("https://klasma.github.io/Logging_0127/tillsynsmail/A 12305-2026 tillsynsbegäran mail.docx", "A 12305-2026")</f>
        <v/>
      </c>
      <c r="Z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s="1" t="n">
        <v>46090</v>
      </c>
      <c r="C31" s="1" t="n">
        <v>46197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HYPERLINK("https://klasma.github.io/Logging_0127/artfynd/A 12590-2026 artfynd.xlsx", "A 12590-2026")</f>
        <v/>
      </c>
      <c r="T31">
        <f>HYPERLINK("https://klasma.github.io/Logging_0127/kartor/A 12590-2026 karta.png", "A 12590-2026")</f>
        <v/>
      </c>
      <c r="V31">
        <f>HYPERLINK("https://klasma.github.io/Logging_0127/klagomål/A 12590-2026 FSC-klagomål.docx", "A 12590-2026")</f>
        <v/>
      </c>
      <c r="W31">
        <f>HYPERLINK("https://klasma.github.io/Logging_0127/klagomålsmail/A 12590-2026 FSC-klagomål mail.docx", "A 12590-2026")</f>
        <v/>
      </c>
      <c r="X31">
        <f>HYPERLINK("https://klasma.github.io/Logging_0127/tillsyn/A 12590-2026 tillsynsbegäran.docx", "A 12590-2026")</f>
        <v/>
      </c>
      <c r="Y31">
        <f>HYPERLINK("https://klasma.github.io/Logging_0127/tillsynsmail/A 12590-2026 tillsynsbegäran mail.docx", "A 12590-2026")</f>
        <v/>
      </c>
      <c r="Z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s="1" t="n">
        <v>46092</v>
      </c>
      <c r="C32" s="1" t="n">
        <v>46197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Fyrflikig jordstjärna</t>
        </is>
      </c>
      <c r="S32">
        <f>HYPERLINK("https://klasma.github.io/Logging_0127/artfynd/A 12842-2026 artfynd.xlsx", "A 12842-2026")</f>
        <v/>
      </c>
      <c r="T32">
        <f>HYPERLINK("https://klasma.github.io/Logging_0127/kartor/A 12842-2026 karta.png", "A 12842-2026")</f>
        <v/>
      </c>
      <c r="V32">
        <f>HYPERLINK("https://klasma.github.io/Logging_0127/klagomål/A 12842-2026 FSC-klagomål.docx", "A 12842-2026")</f>
        <v/>
      </c>
      <c r="W32">
        <f>HYPERLINK("https://klasma.github.io/Logging_0127/klagomålsmail/A 12842-2026 FSC-klagomål mail.docx", "A 12842-2026")</f>
        <v/>
      </c>
      <c r="X32">
        <f>HYPERLINK("https://klasma.github.io/Logging_0127/tillsyn/A 12842-2026 tillsynsbegäran.docx", "A 12842-2026")</f>
        <v/>
      </c>
      <c r="Y32">
        <f>HYPERLINK("https://klasma.github.io/Logging_0127/tillsynsmail/A 12842-2026 tillsynsbegäran mail.docx", "A 12842-2026")</f>
        <v/>
      </c>
    </row>
    <row r="33" ht="15" customHeight="1">
      <c r="A33" t="inlineStr">
        <is>
          <t>A 1691-2023</t>
        </is>
      </c>
      <c r="B33" s="1" t="n">
        <v>44938</v>
      </c>
      <c r="C33" s="1" t="n">
        <v>46197</v>
      </c>
      <c r="D33" t="inlineStr">
        <is>
          <t>STOCKHOLMS LÄN</t>
        </is>
      </c>
      <c r="E33" t="inlineStr">
        <is>
          <t>BOTKYRKA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HYPERLINK("https://klasma.github.io/Logging_0127/artfynd/A 1691-2023 artfynd.xlsx", "A 1691-2023")</f>
        <v/>
      </c>
      <c r="T33">
        <f>HYPERLINK("https://klasma.github.io/Logging_0127/kartor/A 1691-2023 karta.png", "A 1691-2023")</f>
        <v/>
      </c>
      <c r="V33">
        <f>HYPERLINK("https://klasma.github.io/Logging_0127/klagomål/A 1691-2023 FSC-klagomål.docx", "A 1691-2023")</f>
        <v/>
      </c>
      <c r="W33">
        <f>HYPERLINK("https://klasma.github.io/Logging_0127/klagomålsmail/A 1691-2023 FSC-klagomål mail.docx", "A 1691-2023")</f>
        <v/>
      </c>
      <c r="X33">
        <f>HYPERLINK("https://klasma.github.io/Logging_0127/tillsyn/A 1691-2023 tillsynsbegäran.docx", "A 1691-2023")</f>
        <v/>
      </c>
      <c r="Y33">
        <f>HYPERLINK("https://klasma.github.io/Logging_0127/tillsynsmail/A 1691-2023 tillsynsbegäran mail.docx", "A 1691-2023")</f>
        <v/>
      </c>
    </row>
    <row r="34" ht="15" customHeight="1">
      <c r="A34" t="inlineStr">
        <is>
          <t>A 3726-2022</t>
        </is>
      </c>
      <c r="B34" s="1" t="n">
        <v>44586</v>
      </c>
      <c r="C34" s="1" t="n">
        <v>46197</v>
      </c>
      <c r="D34" t="inlineStr">
        <is>
          <t>STOCKHOLMS LÄN</t>
        </is>
      </c>
      <c r="E34" t="inlineStr">
        <is>
          <t>BOTKYRKA</t>
        </is>
      </c>
      <c r="G34" t="n">
        <v>17.1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Blomkålssvamp</t>
        </is>
      </c>
      <c r="S34">
        <f>HYPERLINK("https://klasma.github.io/Logging_0127/artfynd/A 3726-2022 artfynd.xlsx", "A 3726-2022")</f>
        <v/>
      </c>
      <c r="T34">
        <f>HYPERLINK("https://klasma.github.io/Logging_0127/kartor/A 3726-2022 karta.png", "A 3726-2022")</f>
        <v/>
      </c>
      <c r="V34">
        <f>HYPERLINK("https://klasma.github.io/Logging_0127/klagomål/A 3726-2022 FSC-klagomål.docx", "A 3726-2022")</f>
        <v/>
      </c>
      <c r="W34">
        <f>HYPERLINK("https://klasma.github.io/Logging_0127/klagomålsmail/A 3726-2022 FSC-klagomål mail.docx", "A 3726-2022")</f>
        <v/>
      </c>
      <c r="X34">
        <f>HYPERLINK("https://klasma.github.io/Logging_0127/tillsyn/A 3726-2022 tillsynsbegäran.docx", "A 3726-2022")</f>
        <v/>
      </c>
      <c r="Y34">
        <f>HYPERLINK("https://klasma.github.io/Logging_0127/tillsynsmail/A 3726-2022 tillsynsbegäran mail.docx", "A 3726-2022")</f>
        <v/>
      </c>
    </row>
    <row r="35" ht="15" customHeight="1">
      <c r="A35" t="inlineStr">
        <is>
          <t>A 15690-2023</t>
        </is>
      </c>
      <c r="B35" s="1" t="n">
        <v>45020</v>
      </c>
      <c r="C35" s="1" t="n">
        <v>46197</v>
      </c>
      <c r="D35" t="inlineStr">
        <is>
          <t>STOCKHOLMS LÄN</t>
        </is>
      </c>
      <c r="E35" t="inlineStr">
        <is>
          <t>BOTKYRKA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Gullpudra</t>
        </is>
      </c>
      <c r="S35">
        <f>HYPERLINK("https://klasma.github.io/Logging_0127/artfynd/A 15690-2023 artfynd.xlsx", "A 15690-2023")</f>
        <v/>
      </c>
      <c r="T35">
        <f>HYPERLINK("https://klasma.github.io/Logging_0127/kartor/A 15690-2023 karta.png", "A 15690-2023")</f>
        <v/>
      </c>
      <c r="V35">
        <f>HYPERLINK("https://klasma.github.io/Logging_0127/klagomål/A 15690-2023 FSC-klagomål.docx", "A 15690-2023")</f>
        <v/>
      </c>
      <c r="W35">
        <f>HYPERLINK("https://klasma.github.io/Logging_0127/klagomålsmail/A 15690-2023 FSC-klagomål mail.docx", "A 15690-2023")</f>
        <v/>
      </c>
      <c r="X35">
        <f>HYPERLINK("https://klasma.github.io/Logging_0127/tillsyn/A 15690-2023 tillsynsbegäran.docx", "A 15690-2023")</f>
        <v/>
      </c>
      <c r="Y35">
        <f>HYPERLINK("https://klasma.github.io/Logging_0127/tillsynsmail/A 15690-2023 tillsynsbegäran mail.docx", "A 15690-2023")</f>
        <v/>
      </c>
    </row>
    <row r="36" ht="15" customHeight="1">
      <c r="A36" t="inlineStr">
        <is>
          <t>A 3681-2022</t>
        </is>
      </c>
      <c r="B36" s="1" t="n">
        <v>44586</v>
      </c>
      <c r="C36" s="1" t="n">
        <v>46197</v>
      </c>
      <c r="D36" t="inlineStr">
        <is>
          <t>STOCKHOLMS LÄN</t>
        </is>
      </c>
      <c r="E36" t="inlineStr">
        <is>
          <t>BOTKYRKA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48667-2022</t>
        </is>
      </c>
      <c r="B37" s="1" t="n">
        <v>44859</v>
      </c>
      <c r="C37" s="1" t="n">
        <v>46197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32828-2022</t>
        </is>
      </c>
      <c r="B38" s="1" t="n">
        <v>44784</v>
      </c>
      <c r="C38" s="1" t="n">
        <v>46197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33016-2021</t>
        </is>
      </c>
      <c r="B39" s="1" t="n">
        <v>44376</v>
      </c>
      <c r="C39" s="1" t="n">
        <v>46197</v>
      </c>
      <c r="D39" t="inlineStr">
        <is>
          <t>STOCKHOLMS LÄN</t>
        </is>
      </c>
      <c r="E39" t="inlineStr">
        <is>
          <t>BOTKYRKA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73772-2021</t>
        </is>
      </c>
      <c r="B40" s="1" t="n">
        <v>44552</v>
      </c>
      <c r="C40" s="1" t="n">
        <v>46197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52035-2021</t>
        </is>
      </c>
      <c r="B41" s="1" t="n">
        <v>44463</v>
      </c>
      <c r="C41" s="1" t="n">
        <v>46197</v>
      </c>
      <c r="D41" t="inlineStr">
        <is>
          <t>STOCKHOLMS LÄN</t>
        </is>
      </c>
      <c r="E41" t="inlineStr">
        <is>
          <t>BOTKYRKA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48647-2022</t>
        </is>
      </c>
      <c r="B42" s="1" t="n">
        <v>44859</v>
      </c>
      <c r="C42" s="1" t="n">
        <v>46197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16145-2024</t>
        </is>
      </c>
      <c r="B43" s="1" t="n">
        <v>45406</v>
      </c>
      <c r="C43" s="1" t="n">
        <v>46197</v>
      </c>
      <c r="D43" t="inlineStr">
        <is>
          <t>STOCKHOLMS LÄN</t>
        </is>
      </c>
      <c r="E43" t="inlineStr">
        <is>
          <t>BOTKYRKA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48656-2022</t>
        </is>
      </c>
      <c r="B44" s="1" t="n">
        <v>44859</v>
      </c>
      <c r="C44" s="1" t="n">
        <v>46197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46405-2022</t>
        </is>
      </c>
      <c r="B45" s="1" t="n">
        <v>44846</v>
      </c>
      <c r="C45" s="1" t="n">
        <v>46197</v>
      </c>
      <c r="D45" t="inlineStr">
        <is>
          <t>STOCKHOLMS LÄN</t>
        </is>
      </c>
      <c r="E45" t="inlineStr">
        <is>
          <t>BOTKYRKA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37095-2021</t>
        </is>
      </c>
      <c r="B46" s="1" t="n">
        <v>44395</v>
      </c>
      <c r="C46" s="1" t="n">
        <v>46197</v>
      </c>
      <c r="D46" t="inlineStr">
        <is>
          <t>STOCKHOLMS LÄN</t>
        </is>
      </c>
      <c r="E46" t="inlineStr">
        <is>
          <t>BOTKYRKA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38194-2022</t>
        </is>
      </c>
      <c r="B47" s="1" t="n">
        <v>44812</v>
      </c>
      <c r="C47" s="1" t="n">
        <v>46197</v>
      </c>
      <c r="D47" t="inlineStr">
        <is>
          <t>STOCKHOLMS LÄN</t>
        </is>
      </c>
      <c r="E47" t="inlineStr">
        <is>
          <t>BOTKYRKA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73155-2021</t>
        </is>
      </c>
      <c r="B48" s="1" t="n">
        <v>44550</v>
      </c>
      <c r="C48" s="1" t="n">
        <v>46197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15692-2023</t>
        </is>
      </c>
      <c r="B49" s="1" t="n">
        <v>45020</v>
      </c>
      <c r="C49" s="1" t="n">
        <v>46197</v>
      </c>
      <c r="D49" t="inlineStr">
        <is>
          <t>STOCKHOLMS LÄN</t>
        </is>
      </c>
      <c r="E49" t="inlineStr">
        <is>
          <t>BOTKYRKA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14202-2025</t>
        </is>
      </c>
      <c r="B50" s="1" t="n">
        <v>45740</v>
      </c>
      <c r="C50" s="1" t="n">
        <v>46197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21285-2023</t>
        </is>
      </c>
      <c r="B51" s="1" t="n">
        <v>45062</v>
      </c>
      <c r="C51" s="1" t="n">
        <v>46197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54468-2025</t>
        </is>
      </c>
      <c r="B52" s="1" t="n">
        <v>45965</v>
      </c>
      <c r="C52" s="1" t="n">
        <v>46197</v>
      </c>
      <c r="D52" t="inlineStr">
        <is>
          <t>STOCKHOLMS LÄN</t>
        </is>
      </c>
      <c r="E52" t="inlineStr">
        <is>
          <t>BOTKYRKA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3021-2025</t>
        </is>
      </c>
      <c r="B53" s="1" t="n">
        <v>45678</v>
      </c>
      <c r="C53" s="1" t="n">
        <v>46197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46197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12306-2026</t>
        </is>
      </c>
      <c r="B55" s="1" t="n">
        <v>46087</v>
      </c>
      <c r="C55" s="1" t="n">
        <v>46197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12294-2026</t>
        </is>
      </c>
      <c r="B56" s="1" t="n">
        <v>46087</v>
      </c>
      <c r="C56" s="1" t="n">
        <v>46197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11867-2024</t>
        </is>
      </c>
      <c r="B57" s="1" t="n">
        <v>45376</v>
      </c>
      <c r="C57" s="1" t="n">
        <v>46197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73151-2021</t>
        </is>
      </c>
      <c r="B58" s="1" t="n">
        <v>44550</v>
      </c>
      <c r="C58" s="1" t="n">
        <v>46197</v>
      </c>
      <c r="D58" t="inlineStr">
        <is>
          <t>STOCKHOLMS LÄN</t>
        </is>
      </c>
      <c r="E58" t="inlineStr">
        <is>
          <t>BOTKYRKA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</v>
      </c>
      <c r="C59" s="1" t="n">
        <v>46197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23716-2026</t>
        </is>
      </c>
      <c r="B60" s="1" t="n">
        <v>46164</v>
      </c>
      <c r="C60" s="1" t="n">
        <v>46197</v>
      </c>
      <c r="D60" t="inlineStr">
        <is>
          <t>STOCKHOLMS LÄN</t>
        </is>
      </c>
      <c r="E60" t="inlineStr">
        <is>
          <t>BOTKYRKA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23718-2026</t>
        </is>
      </c>
      <c r="B61" s="1" t="n">
        <v>46164</v>
      </c>
      <c r="C61" s="1" t="n">
        <v>46197</v>
      </c>
      <c r="D61" t="inlineStr">
        <is>
          <t>STOCKHOLMS LÄN</t>
        </is>
      </c>
      <c r="E61" t="inlineStr">
        <is>
          <t>BOTKYRKA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23725-2026</t>
        </is>
      </c>
      <c r="B62" s="1" t="n">
        <v>46164</v>
      </c>
      <c r="C62" s="1" t="n">
        <v>46197</v>
      </c>
      <c r="D62" t="inlineStr">
        <is>
          <t>STOCKHOLMS LÄN</t>
        </is>
      </c>
      <c r="E62" t="inlineStr">
        <is>
          <t>BOTKYRKA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20649-2022</t>
        </is>
      </c>
      <c r="B63" s="1" t="n">
        <v>44700</v>
      </c>
      <c r="C63" s="1" t="n">
        <v>46197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46197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46197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8528-2024</t>
        </is>
      </c>
      <c r="B66" s="1" t="n">
        <v>45355</v>
      </c>
      <c r="C66" s="1" t="n">
        <v>46197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46197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35197-2024</t>
        </is>
      </c>
      <c r="B68" s="1" t="n">
        <v>45530</v>
      </c>
      <c r="C68" s="1" t="n">
        <v>46197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27717-2026</t>
        </is>
      </c>
      <c r="B69" s="1" t="n">
        <v>46190</v>
      </c>
      <c r="C69" s="1" t="n">
        <v>46197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46197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22391-2026</t>
        </is>
      </c>
      <c r="B71" s="1" t="n">
        <v>46154</v>
      </c>
      <c r="C71" s="1" t="n">
        <v>46197</v>
      </c>
      <c r="D71" t="inlineStr">
        <is>
          <t>STOCKHOLMS LÄN</t>
        </is>
      </c>
      <c r="E71" t="inlineStr">
        <is>
          <t>BOTKYRKA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46197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16483-2023</t>
        </is>
      </c>
      <c r="B73" s="1" t="n">
        <v>45029</v>
      </c>
      <c r="C73" s="1" t="n">
        <v>46197</v>
      </c>
      <c r="D73" t="inlineStr">
        <is>
          <t>STOCKHOLMS LÄN</t>
        </is>
      </c>
      <c r="E73" t="inlineStr">
        <is>
          <t>BOTKYRKA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30622-2024</t>
        </is>
      </c>
      <c r="B74" s="1" t="n">
        <v>45495</v>
      </c>
      <c r="C74" s="1" t="n">
        <v>46197</v>
      </c>
      <c r="D74" t="inlineStr">
        <is>
          <t>STOCKHOLMS LÄN</t>
        </is>
      </c>
      <c r="E74" t="inlineStr">
        <is>
          <t>BOTKYRKA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30925-2023</t>
        </is>
      </c>
      <c r="B75" s="1" t="n">
        <v>45113</v>
      </c>
      <c r="C75" s="1" t="n">
        <v>46197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46197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14217-2025</t>
        </is>
      </c>
      <c r="B77" s="1" t="n">
        <v>45740</v>
      </c>
      <c r="C77" s="1" t="n">
        <v>46197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61242-2022</t>
        </is>
      </c>
      <c r="B78" s="1" t="n">
        <v>44915</v>
      </c>
      <c r="C78" s="1" t="n">
        <v>46197</v>
      </c>
      <c r="D78" t="inlineStr">
        <is>
          <t>STOCKHOLMS LÄN</t>
        </is>
      </c>
      <c r="E78" t="inlineStr">
        <is>
          <t>BOTKYRKA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11876-2024</t>
        </is>
      </c>
      <c r="B79" s="1" t="n">
        <v>45376</v>
      </c>
      <c r="C79" s="1" t="n">
        <v>46197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16142-2024</t>
        </is>
      </c>
      <c r="B80" s="1" t="n">
        <v>45406</v>
      </c>
      <c r="C80" s="1" t="n">
        <v>46197</v>
      </c>
      <c r="D80" t="inlineStr">
        <is>
          <t>STOCKHOLMS LÄN</t>
        </is>
      </c>
      <c r="E80" t="inlineStr">
        <is>
          <t>BOTKYRKA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2026-06-24T00:46:22Z</dcterms:created>
  <dcterms:modified xmlns:dcterms="http://purl.org/dc/terms/" xmlns:xsi="http://www.w3.org/2001/XMLSchema-instance" xsi:type="dcterms:W3CDTF">2026-06-24T00:46:22Z</dcterms:modified>
</cp:coreProperties>
</file>