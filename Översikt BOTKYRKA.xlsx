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46322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46322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46322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46322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46322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46322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46322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46322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46322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46322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46322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A 24799-2026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46322</v>
      </c>
      <c r="F13" t="inlineStr">
        <is>
          <t>STOCKHOLMS LÄN</t>
        </is>
      </c>
      <c r="G13" t="inlineStr">
        <is>
          <t>BOTKYRKA</t>
        </is>
      </c>
      <c r="I13" t="n">
        <v>1.7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Gulsparv
Mindre märgborre
Spillkråka
Tofsmes</t>
        </is>
      </c>
      <c r="W13">
        <f>HYPERLINK("https://klasma.github.io/Logging_0127/artfynd/A 24799-2026 artfynd.xlsx", "A 24799-2026")</f>
        <v/>
      </c>
      <c r="X13">
        <f>HYPERLINK("https://klasma.github.io/Logging_0127/kartor/A 24799-2026 karta.png", "A 24799-2026")</f>
        <v/>
      </c>
      <c r="Y13">
        <f>HYPERLINK("https://klasma.github.io/Logging_0127/kartor_geotiff/A 24799-2026 georefererad karta.tif", "A 24799-2026")</f>
        <v/>
      </c>
      <c r="AA13">
        <f>HYPERLINK("https://klasma.github.io/Logging_0127/klagomål/A 24799-2026 FSC-klagomål.docx", "A 24799-2026")</f>
        <v/>
      </c>
      <c r="AB13">
        <f>HYPERLINK("https://klasma.github.io/Logging_0127/klagomålsmail/A 24799-2026 FSC-klagomål mail.docx", "A 24799-2026")</f>
        <v/>
      </c>
      <c r="AC13">
        <f>HYPERLINK("https://klasma.github.io/Logging_0127/tillsyn/A 24799-2026 tillsynsbegäran.docx", "A 24799-2026")</f>
        <v/>
      </c>
      <c r="AD13">
        <f>HYPERLINK("https://klasma.github.io/Logging_0127/tillsynsmail/A 24799-2026 tillsynsbegäran mail.docx", "A 24799-2026")</f>
        <v/>
      </c>
      <c r="AE13">
        <f>HYPERLINK("https://klasma.github.io/Logging_0127/fåglar/A 24799-2026 prioriterade fågelarter.docx", "A 24799-2026")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46322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46322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23829-2023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46322</v>
      </c>
      <c r="F16" t="inlineStr">
        <is>
          <t>STOCKHOLMS LÄN</t>
        </is>
      </c>
      <c r="G16" t="inlineStr">
        <is>
          <t>BOTKYRKA</t>
        </is>
      </c>
      <c r="H16" t="inlineStr">
        <is>
          <t>Kommuner</t>
        </is>
      </c>
      <c r="I16" t="n">
        <v>3.7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Fjällig taggsvamp s.str.
Tallticka
Fläcknycklar</t>
        </is>
      </c>
      <c r="W16">
        <f>HYPERLINK("https://klasma.github.io/Logging_0127/artfynd/A 23829-2023 artfynd.xlsx", "A 23829-2023")</f>
        <v/>
      </c>
      <c r="X16">
        <f>HYPERLINK("https://klasma.github.io/Logging_0127/kartor/A 23829-2023 karta.png", "A 23829-2023")</f>
        <v/>
      </c>
      <c r="Y16">
        <f>HYPERLINK("https://klasma.github.io/Logging_0127/kartor_geotiff/A 23829-2023 georefererad karta.tif", "A 23829-2023")</f>
        <v/>
      </c>
      <c r="AA16">
        <f>HYPERLINK("https://klasma.github.io/Logging_0127/klagomål/A 23829-2023 FSC-klagomål.docx", "A 23829-2023")</f>
        <v/>
      </c>
      <c r="AB16">
        <f>HYPERLINK("https://klasma.github.io/Logging_0127/klagomålsmail/A 23829-2023 FSC-klagomål mail.docx", "A 23829-2023")</f>
        <v/>
      </c>
      <c r="AC16">
        <f>HYPERLINK("https://klasma.github.io/Logging_0127/tillsyn/A 23829-2023 tillsynsbegäran.docx", "A 23829-2023")</f>
        <v/>
      </c>
      <c r="AD16">
        <f>HYPERLINK("https://klasma.github.io/Logging_0127/tillsynsmail/A 23829-2023 tillsynsbegäran mail.docx", "A 23829-2023")</f>
        <v/>
      </c>
    </row>
    <row r="17" ht="15" customHeight="1">
      <c r="A17" t="inlineStr">
        <is>
          <t>A 25319-2026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46176</v>
      </c>
      <c r="E17" s="1" t="n">
        <v>46322</v>
      </c>
      <c r="F17" t="inlineStr">
        <is>
          <t>STOCKHOLMS LÄN</t>
        </is>
      </c>
      <c r="G17" t="inlineStr">
        <is>
          <t>BOTKYRKA</t>
        </is>
      </c>
      <c r="I17" t="n">
        <v>1.6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Grovticka
Spillkråka
Tofsmes</t>
        </is>
      </c>
      <c r="W17">
        <f>HYPERLINK("https://klasma.github.io/Logging_0127/artfynd/A 25319-2026 artfynd.xlsx", "A 25319-2026")</f>
        <v/>
      </c>
      <c r="X17">
        <f>HYPERLINK("https://klasma.github.io/Logging_0127/kartor/A 25319-2026 karta.png", "A 25319-2026")</f>
        <v/>
      </c>
      <c r="Y17">
        <f>HYPERLINK("https://klasma.github.io/Logging_0127/kartor_geotiff/A 25319-2026 georefererad karta.tif", "A 25319-2026")</f>
        <v/>
      </c>
      <c r="AA17">
        <f>HYPERLINK("https://klasma.github.io/Logging_0127/klagomål/A 25319-2026 FSC-klagomål.docx", "A 25319-2026")</f>
        <v/>
      </c>
      <c r="AB17">
        <f>HYPERLINK("https://klasma.github.io/Logging_0127/klagomålsmail/A 25319-2026 FSC-klagomål mail.docx", "A 25319-2026")</f>
        <v/>
      </c>
      <c r="AC17">
        <f>HYPERLINK("https://klasma.github.io/Logging_0127/tillsyn/A 25319-2026 tillsynsbegäran.docx", "A 25319-2026")</f>
        <v/>
      </c>
      <c r="AD17">
        <f>HYPERLINK("https://klasma.github.io/Logging_0127/tillsynsmail/A 25319-2026 tillsynsbegäran mail.docx", "A 25319-2026")</f>
        <v/>
      </c>
      <c r="AE17">
        <f>HYPERLINK("https://klasma.github.io/Logging_0127/fåglar/A 25319-2026 prioriterade fågelarter.docx", "A 25319-2026")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46322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30378-2024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45491</v>
      </c>
      <c r="E19" s="1" t="n">
        <v>46322</v>
      </c>
      <c r="F19" t="inlineStr">
        <is>
          <t>STOCKHOLMS LÄN</t>
        </is>
      </c>
      <c r="G19" t="inlineStr">
        <is>
          <t>BOTKYRKA</t>
        </is>
      </c>
      <c r="I19" t="n">
        <v>0.3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tåtelsmygare
Svinrot</t>
        </is>
      </c>
      <c r="W19">
        <f>HYPERLINK("https://klasma.github.io/Logging_0127/artfynd/A 30378-2024 artfynd.xlsx", "A 30378-2024")</f>
        <v/>
      </c>
      <c r="X19">
        <f>HYPERLINK("https://klasma.github.io/Logging_0127/kartor/A 30378-2024 karta.png", "A 30378-2024")</f>
        <v/>
      </c>
      <c r="Y19">
        <f>HYPERLINK("https://klasma.github.io/Logging_0127/kartor_geotiff/A 30378-2024 georefererad karta.tif", "A 30378-2024")</f>
        <v/>
      </c>
      <c r="AA19">
        <f>HYPERLINK("https://klasma.github.io/Logging_0127/klagomål/A 30378-2024 FSC-klagomål.docx", "A 30378-2024")</f>
        <v/>
      </c>
      <c r="AB19">
        <f>HYPERLINK("https://klasma.github.io/Logging_0127/klagomålsmail/A 30378-2024 FSC-klagomål mail.docx", "A 30378-2024")</f>
        <v/>
      </c>
      <c r="AC19">
        <f>HYPERLINK("https://klasma.github.io/Logging_0127/tillsyn/A 30378-2024 tillsynsbegäran.docx", "A 30378-2024")</f>
        <v/>
      </c>
      <c r="AD19">
        <f>HYPERLINK("https://klasma.github.io/Logging_0127/tillsynsmail/A 30378-2024 tillsynsbegäran mail.docx", "A 30378-2024")</f>
        <v/>
      </c>
    </row>
    <row r="20" ht="15" customHeight="1">
      <c r="A20" t="inlineStr">
        <is>
          <t>A 15905-2022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44664</v>
      </c>
      <c r="E20" s="1" t="n">
        <v>46322</v>
      </c>
      <c r="F20" t="inlineStr">
        <is>
          <t>STOCKHOLMS LÄN</t>
        </is>
      </c>
      <c r="G20" t="inlineStr">
        <is>
          <t>BOTKYRKA</t>
        </is>
      </c>
      <c r="I20" t="n">
        <v>11.2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Motaggsvamp
Svartvit taggsvamp</t>
        </is>
      </c>
      <c r="W20">
        <f>HYPERLINK("https://klasma.github.io/Logging_0127/artfynd/A 15905-2022 artfynd.xlsx", "A 15905-2022")</f>
        <v/>
      </c>
      <c r="X20">
        <f>HYPERLINK("https://klasma.github.io/Logging_0127/kartor/A 15905-2022 karta.png", "A 15905-2022")</f>
        <v/>
      </c>
      <c r="Y20">
        <f>HYPERLINK("https://klasma.github.io/Logging_0127/kartor_geotiff/A 15905-2022 georefererad karta.tif", "A 15905-2022")</f>
        <v/>
      </c>
      <c r="AA20">
        <f>HYPERLINK("https://klasma.github.io/Logging_0127/klagomål/A 15905-2022 FSC-klagomål.docx", "A 15905-2022")</f>
        <v/>
      </c>
      <c r="AB20">
        <f>HYPERLINK("https://klasma.github.io/Logging_0127/klagomålsmail/A 15905-2022 FSC-klagomål mail.docx", "A 15905-2022")</f>
        <v/>
      </c>
      <c r="AC20">
        <f>HYPERLINK("https://klasma.github.io/Logging_0127/tillsyn/A 15905-2022 tillsynsbegäran.docx", "A 15905-2022")</f>
        <v/>
      </c>
      <c r="AD20">
        <f>HYPERLINK("https://klasma.github.io/Logging_0127/tillsynsmail/A 15905-2022 tillsynsbegäran mail.docx", "A 15905-2022")</f>
        <v/>
      </c>
    </row>
    <row r="21" ht="15" customHeight="1">
      <c r="A21" t="inlineStr">
        <is>
          <t>A 60406-2025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45995</v>
      </c>
      <c r="E21" s="1" t="n">
        <v>46322</v>
      </c>
      <c r="F21" t="inlineStr">
        <is>
          <t>STOCKHOLMS LÄN</t>
        </is>
      </c>
      <c r="G21" t="inlineStr">
        <is>
          <t>BOTKYRKA</t>
        </is>
      </c>
      <c r="H21" t="inlineStr">
        <is>
          <t>Övriga Aktiebolag</t>
        </is>
      </c>
      <c r="I21" t="n">
        <v>2.3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Mindre märgborre</t>
        </is>
      </c>
      <c r="W21">
        <f>HYPERLINK("https://klasma.github.io/Logging_0127/artfynd/A 60406-2025 artfynd.xlsx", "A 60406-2025")</f>
        <v/>
      </c>
      <c r="X21">
        <f>HYPERLINK("https://klasma.github.io/Logging_0127/kartor/A 60406-2025 karta.png", "A 60406-2025")</f>
        <v/>
      </c>
      <c r="Y21">
        <f>HYPERLINK("https://klasma.github.io/Logging_0127/kartor_geotiff/A 60406-2025 georefererad karta.tif", "A 60406-2025")</f>
        <v/>
      </c>
      <c r="AA21">
        <f>HYPERLINK("https://klasma.github.io/Logging_0127/klagomål/A 60406-2025 FSC-klagomål.docx", "A 60406-2025")</f>
        <v/>
      </c>
      <c r="AB21">
        <f>HYPERLINK("https://klasma.github.io/Logging_0127/klagomålsmail/A 60406-2025 FSC-klagomål mail.docx", "A 60406-2025")</f>
        <v/>
      </c>
      <c r="AC21">
        <f>HYPERLINK("https://klasma.github.io/Logging_0127/tillsyn/A 60406-2025 tillsynsbegäran.docx", "A 60406-2025")</f>
        <v/>
      </c>
      <c r="AD21">
        <f>HYPERLINK("https://klasma.github.io/Logging_0127/tillsynsmail/A 60406-2025 tillsynsbegäran mail.docx", "A 60406-2025")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46322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46322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46322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12305-2026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46087</v>
      </c>
      <c r="E25" s="1" t="n">
        <v>46322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HYPERLINK("https://klasma.github.io/Logging_0127/artfynd/A 12305-2026 artfynd.xlsx", "A 12305-2026")</f>
        <v/>
      </c>
      <c r="X25">
        <f>HYPERLINK("https://klasma.github.io/Logging_0127/kartor/A 12305-2026 karta.png", "A 12305-2026")</f>
        <v/>
      </c>
      <c r="Y25">
        <f>HYPERLINK("https://klasma.github.io/Logging_0127/kartor_geotiff/A 12305-2026 georefererad karta.tif", "A 12305-2026")</f>
        <v/>
      </c>
      <c r="AA25">
        <f>HYPERLINK("https://klasma.github.io/Logging_0127/klagomål/A 12305-2026 FSC-klagomål.docx", "A 12305-2026")</f>
        <v/>
      </c>
      <c r="AB25">
        <f>HYPERLINK("https://klasma.github.io/Logging_0127/klagomålsmail/A 12305-2026 FSC-klagomål mail.docx", "A 12305-2026")</f>
        <v/>
      </c>
      <c r="AC25">
        <f>HYPERLINK("https://klasma.github.io/Logging_0127/tillsyn/A 12305-2026 tillsynsbegäran.docx", "A 12305-2026")</f>
        <v/>
      </c>
      <c r="AD25">
        <f>HYPERLINK("https://klasma.github.io/Logging_0127/tillsynsmail/A 12305-2026 tillsynsbegäran mail.docx", "A 12305-2026")</f>
        <v/>
      </c>
      <c r="AE25">
        <f>HYPERLINK("https://klasma.github.io/Logging_0127/fåglar/A 12305-2026 prioriterade fågelarter.docx", "A 12305-2026")</f>
        <v/>
      </c>
    </row>
    <row r="26" ht="15" customHeight="1">
      <c r="A26" t="inlineStr">
        <is>
          <t>A 12590-2026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46322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hackspett</t>
        </is>
      </c>
      <c r="W26">
        <f>HYPERLINK("https://klasma.github.io/Logging_0127/artfynd/A 12590-2026 artfynd.xlsx", "A 12590-2026")</f>
        <v/>
      </c>
      <c r="X26">
        <f>HYPERLINK("https://klasma.github.io/Logging_0127/kartor/A 12590-2026 karta.png", "A 12590-2026")</f>
        <v/>
      </c>
      <c r="Y26">
        <f>HYPERLINK("https://klasma.github.io/Logging_0127/kartor_geotiff/A 12590-2026 georefererad karta.tif", "A 12590-2026")</f>
        <v/>
      </c>
      <c r="AA26">
        <f>HYPERLINK("https://klasma.github.io/Logging_0127/klagomål/A 12590-2026 FSC-klagomål.docx", "A 12590-2026")</f>
        <v/>
      </c>
      <c r="AB26">
        <f>HYPERLINK("https://klasma.github.io/Logging_0127/klagomålsmail/A 12590-2026 FSC-klagomål mail.docx", "A 12590-2026")</f>
        <v/>
      </c>
      <c r="AC26">
        <f>HYPERLINK("https://klasma.github.io/Logging_0127/tillsyn/A 12590-2026 tillsynsbegäran.docx", "A 12590-2026")</f>
        <v/>
      </c>
      <c r="AD26">
        <f>HYPERLINK("https://klasma.github.io/Logging_0127/tillsynsmail/A 12590-2026 tillsynsbegäran mail.docx", "A 12590-2026")</f>
        <v/>
      </c>
      <c r="AE26">
        <f>HYPERLINK("https://klasma.github.io/Logging_0127/fåglar/A 12590-2026 prioriterade fågelarter.docx", "A 12590-2026")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46322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46322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46322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46322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46322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46322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46322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46322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46322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46322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46322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46322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46322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45678</v>
      </c>
      <c r="E40" s="1" t="n">
        <v>46322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44599</v>
      </c>
      <c r="E41" s="1" t="n">
        <v>46322</v>
      </c>
      <c r="F41" t="inlineStr">
        <is>
          <t>STOCKHOLMS LÄN</t>
        </is>
      </c>
      <c r="G41" t="inlineStr">
        <is>
          <t>BOTKYRKA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46322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27717-2026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46190</v>
      </c>
      <c r="E43" s="1" t="n">
        <v>46322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73194-2021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46322</v>
      </c>
      <c r="F44" t="inlineStr">
        <is>
          <t>STOCKHOLMS LÄN</t>
        </is>
      </c>
      <c r="G44" t="inlineStr">
        <is>
          <t>BOTKYRKA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46322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46322</v>
      </c>
      <c r="F46" t="inlineStr">
        <is>
          <t>STOCKHOLMS LÄN</t>
        </is>
      </c>
      <c r="G46" t="inlineStr">
        <is>
          <t>BOTKYRKA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45376</v>
      </c>
      <c r="E47" s="1" t="n">
        <v>46322</v>
      </c>
      <c r="F47" t="inlineStr">
        <is>
          <t>STOCKHOLMS LÄN</t>
        </is>
      </c>
      <c r="G47" t="inlineStr">
        <is>
          <t>BOTKYRKA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45029</v>
      </c>
      <c r="E48" s="1" t="n">
        <v>46322</v>
      </c>
      <c r="F48" t="inlineStr">
        <is>
          <t>STOCKHOLMS LÄN</t>
        </is>
      </c>
      <c r="G48" t="inlineStr">
        <is>
          <t>BOTKYRKA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46322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46322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8528-2024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45355</v>
      </c>
      <c r="E51" s="1" t="n">
        <v>46322</v>
      </c>
      <c r="F51" t="inlineStr">
        <is>
          <t>STOCKHOLMS LÄN</t>
        </is>
      </c>
      <c r="G51" t="inlineStr">
        <is>
          <t>BOTKYRKA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46322</v>
      </c>
      <c r="F52" t="inlineStr">
        <is>
          <t>STOCKHOLMS LÄN</t>
        </is>
      </c>
      <c r="G52" t="inlineStr">
        <is>
          <t>BOTKYRKA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46322</v>
      </c>
      <c r="F53" t="inlineStr">
        <is>
          <t>STOCKHOLMS LÄN</t>
        </is>
      </c>
      <c r="G53" t="inlineStr">
        <is>
          <t>BOTKYRKA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46322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46322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45020</v>
      </c>
      <c r="E56" s="1" t="n">
        <v>46322</v>
      </c>
      <c r="F56" t="inlineStr">
        <is>
          <t>STOCKHOLMS LÄN</t>
        </is>
      </c>
      <c r="G56" t="inlineStr">
        <is>
          <t>BOTKYRKA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46322</v>
      </c>
      <c r="F57" t="inlineStr">
        <is>
          <t>STOCKHOLMS LÄN</t>
        </is>
      </c>
      <c r="G57" t="inlineStr">
        <is>
          <t>BOTKYRKA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46322</v>
      </c>
      <c r="F58" t="inlineStr">
        <is>
          <t>STOCKHOLMS LÄN</t>
        </is>
      </c>
      <c r="G58" t="inlineStr">
        <is>
          <t>BOTKYRKA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46322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46322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46322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46322</v>
      </c>
      <c r="F62" t="inlineStr">
        <is>
          <t>STOCKHOLMS LÄN</t>
        </is>
      </c>
      <c r="G62" t="inlineStr">
        <is>
          <t>BOTKYRKA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46322</v>
      </c>
      <c r="F63" t="inlineStr">
        <is>
          <t>STOCKHOLMS LÄN</t>
        </is>
      </c>
      <c r="G63" t="inlineStr">
        <is>
          <t>BOTKYRKA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46322</v>
      </c>
      <c r="F64" t="inlineStr">
        <is>
          <t>STOCKHOLMS LÄN</t>
        </is>
      </c>
      <c r="G64" t="inlineStr">
        <is>
          <t>BOTKYRKA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46322</v>
      </c>
      <c r="F65" t="inlineStr">
        <is>
          <t>STOCKHOLMS LÄN</t>
        </is>
      </c>
      <c r="G65" t="inlineStr">
        <is>
          <t>BOTKYRKA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46164</v>
      </c>
      <c r="E66" s="1" t="n">
        <v>46322</v>
      </c>
      <c r="F66" t="inlineStr">
        <is>
          <t>STOCKHOLMS LÄN</t>
        </is>
      </c>
      <c r="G66" t="inlineStr">
        <is>
          <t>BOTKYRKA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25217-2024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45462</v>
      </c>
      <c r="E67" s="1" t="n">
        <v>46322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46322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30622-2024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45495</v>
      </c>
      <c r="E69" s="1" t="n">
        <v>46322</v>
      </c>
      <c r="F69" t="inlineStr">
        <is>
          <t>STOCKHOLMS LÄN</t>
        </is>
      </c>
      <c r="G69" t="inlineStr">
        <is>
          <t>BOTKYRKA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46322</v>
      </c>
      <c r="F70" t="inlineStr">
        <is>
          <t>STOCKHOLMS LÄN</t>
        </is>
      </c>
      <c r="G70" t="inlineStr">
        <is>
          <t>BOTKYRKA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46322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2026-10-27T03:13:10Z</dcterms:created>
  <dcterms:modified xmlns:dcterms="http://purl.org/dc/terms/" xmlns:xsi="http://www.w3.org/2001/XMLSchema-instance" xsi:type="dcterms:W3CDTF">2026-10-27T03:13:10Z</dcterms:modified>
</cp:coreProperties>
</file>