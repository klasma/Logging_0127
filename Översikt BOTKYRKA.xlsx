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45882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45882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695-2023</t>
        </is>
      </c>
      <c r="B7" s="1" t="n">
        <v>44930</v>
      </c>
      <c r="C7" s="1" t="n">
        <v>45882</v>
      </c>
      <c r="D7" t="inlineStr">
        <is>
          <t>STOCKHOLMS LÄN</t>
        </is>
      </c>
      <c r="E7" t="inlineStr">
        <is>
          <t>BOTKYRKA</t>
        </is>
      </c>
      <c r="G7" t="n">
        <v>13.6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Kungsfågel</t>
        </is>
      </c>
      <c r="S7">
        <f>HYPERLINK("https://klasma.github.io/Logging_0127/artfynd/A 695-2023 artfynd.xlsx", "A 695-2023")</f>
        <v/>
      </c>
      <c r="T7">
        <f>HYPERLINK("https://klasma.github.io/Logging_0127/kartor/A 695-2023 karta.png", "A 695-2023")</f>
        <v/>
      </c>
      <c r="V7">
        <f>HYPERLINK("https://klasma.github.io/Logging_0127/klagomål/A 695-2023 FSC-klagomål.docx", "A 695-2023")</f>
        <v/>
      </c>
      <c r="W7">
        <f>HYPERLINK("https://klasma.github.io/Logging_0127/klagomålsmail/A 695-2023 FSC-klagomål mail.docx", "A 695-2023")</f>
        <v/>
      </c>
      <c r="X7">
        <f>HYPERLINK("https://klasma.github.io/Logging_0127/tillsyn/A 695-2023 tillsynsbegäran.docx", "A 695-2023")</f>
        <v/>
      </c>
      <c r="Y7">
        <f>HYPERLINK("https://klasma.github.io/Logging_0127/tillsynsmail/A 695-2023 tillsynsbegäran mail.docx", "A 695-2023")</f>
        <v/>
      </c>
      <c r="Z7">
        <f>HYPERLINK("https://klasma.github.io/Logging_0127/fåglar/A 695-2023 prioriterade fågelarter.docx", "A 695-2023")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45882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45882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45882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45882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18100-2022</t>
        </is>
      </c>
      <c r="B12" s="1" t="n">
        <v>44684</v>
      </c>
      <c r="C12" s="1" t="n">
        <v>45882</v>
      </c>
      <c r="D12" t="inlineStr">
        <is>
          <t>STOCKHOLMS LÄN</t>
        </is>
      </c>
      <c r="E12" t="inlineStr">
        <is>
          <t>BOTKYRKA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HYPERLINK("https://klasma.github.io/Logging_0127/artfynd/A 18100-2022 artfynd.xlsx", "A 18100-2022")</f>
        <v/>
      </c>
      <c r="T12">
        <f>HYPERLINK("https://klasma.github.io/Logging_0127/kartor/A 18100-2022 karta.png", "A 18100-2022")</f>
        <v/>
      </c>
      <c r="V12">
        <f>HYPERLINK("https://klasma.github.io/Logging_0127/klagomål/A 18100-2022 FSC-klagomål.docx", "A 18100-2022")</f>
        <v/>
      </c>
      <c r="W12">
        <f>HYPERLINK("https://klasma.github.io/Logging_0127/klagomålsmail/A 18100-2022 FSC-klagomål mail.docx", "A 18100-2022")</f>
        <v/>
      </c>
      <c r="X12">
        <f>HYPERLINK("https://klasma.github.io/Logging_0127/tillsyn/A 18100-2022 tillsynsbegäran.docx", "A 18100-2022")</f>
        <v/>
      </c>
      <c r="Y12">
        <f>HYPERLINK("https://klasma.github.io/Logging_0127/tillsynsmail/A 18100-2022 tillsynsbegäran mail.docx", "A 18100-2022")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45882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33801-2025</t>
        </is>
      </c>
      <c r="B14" s="1" t="n">
        <v>45842</v>
      </c>
      <c r="C14" s="1" t="n">
        <v>45882</v>
      </c>
      <c r="D14" t="inlineStr">
        <is>
          <t>STOCKHOLMS LÄN</t>
        </is>
      </c>
      <c r="E14" t="inlineStr">
        <is>
          <t>BOTKYRKA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HYPERLINK("https://klasma.github.io/Logging_0127/artfynd/A 33801-2025 artfynd.xlsx", "A 33801-2025")</f>
        <v/>
      </c>
      <c r="T14">
        <f>HYPERLINK("https://klasma.github.io/Logging_0127/kartor/A 33801-2025 karta.png", "A 33801-2025")</f>
        <v/>
      </c>
      <c r="V14">
        <f>HYPERLINK("https://klasma.github.io/Logging_0127/klagomål/A 33801-2025 FSC-klagomål.docx", "A 33801-2025")</f>
        <v/>
      </c>
      <c r="W14">
        <f>HYPERLINK("https://klasma.github.io/Logging_0127/klagomålsmail/A 33801-2025 FSC-klagomål mail.docx", "A 33801-2025")</f>
        <v/>
      </c>
      <c r="X14">
        <f>HYPERLINK("https://klasma.github.io/Logging_0127/tillsyn/A 33801-2025 tillsynsbegäran.docx", "A 33801-2025")</f>
        <v/>
      </c>
      <c r="Y14">
        <f>HYPERLINK("https://klasma.github.io/Logging_0127/tillsynsmail/A 33801-2025 tillsynsbegäran mail.docx", "A 33801-2025")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45882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45882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45882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45882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45882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52035-2021</t>
        </is>
      </c>
      <c r="B20" s="1" t="n">
        <v>44463</v>
      </c>
      <c r="C20" s="1" t="n">
        <v>45882</v>
      </c>
      <c r="D20" t="inlineStr">
        <is>
          <t>STOCKHOLMS LÄN</t>
        </is>
      </c>
      <c r="E20" t="inlineStr">
        <is>
          <t>BOTKYRKA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45882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35492-2021</t>
        </is>
      </c>
      <c r="B22" s="1" t="n">
        <v>44385</v>
      </c>
      <c r="C22" s="1" t="n">
        <v>45882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20210-2021</t>
        </is>
      </c>
      <c r="B23" s="1" t="n">
        <v>44314</v>
      </c>
      <c r="C23" s="1" t="n">
        <v>45882</v>
      </c>
      <c r="D23" t="inlineStr">
        <is>
          <t>STOCKHOLMS LÄN</t>
        </is>
      </c>
      <c r="E23" t="inlineStr">
        <is>
          <t>BOTKYRKA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73772-2021</t>
        </is>
      </c>
      <c r="B24" s="1" t="n">
        <v>44552</v>
      </c>
      <c r="C24" s="1" t="n">
        <v>45882</v>
      </c>
      <c r="D24" t="inlineStr">
        <is>
          <t>STOCKHOLMS LÄN</t>
        </is>
      </c>
      <c r="E24" t="inlineStr">
        <is>
          <t>BOTKYRKA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48647-2022</t>
        </is>
      </c>
      <c r="B25" s="1" t="n">
        <v>44859</v>
      </c>
      <c r="C25" s="1" t="n">
        <v>45882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43717-2021</t>
        </is>
      </c>
      <c r="B26" s="1" t="n">
        <v>44433.62546296296</v>
      </c>
      <c r="C26" s="1" t="n">
        <v>45882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45882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45882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10817-2021</t>
        </is>
      </c>
      <c r="B29" s="1" t="n">
        <v>44259</v>
      </c>
      <c r="C29" s="1" t="n">
        <v>45882</v>
      </c>
      <c r="D29" t="inlineStr">
        <is>
          <t>STOCKHOLMS LÄN</t>
        </is>
      </c>
      <c r="E29" t="inlineStr">
        <is>
          <t>BOTKYRKA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15692-2023</t>
        </is>
      </c>
      <c r="B30" s="1" t="n">
        <v>45020</v>
      </c>
      <c r="C30" s="1" t="n">
        <v>45882</v>
      </c>
      <c r="D30" t="inlineStr">
        <is>
          <t>STOCKHOLMS LÄN</t>
        </is>
      </c>
      <c r="E30" t="inlineStr">
        <is>
          <t>BOTKYRKA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14202-2025</t>
        </is>
      </c>
      <c r="B31" s="1" t="n">
        <v>45740.57461805556</v>
      </c>
      <c r="C31" s="1" t="n">
        <v>45882</v>
      </c>
      <c r="D31" t="inlineStr">
        <is>
          <t>STOCKHOLMS LÄN</t>
        </is>
      </c>
      <c r="E31" t="inlineStr">
        <is>
          <t>BOTKYRKA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73151-2021</t>
        </is>
      </c>
      <c r="B32" s="1" t="n">
        <v>44550.5162037037</v>
      </c>
      <c r="C32" s="1" t="n">
        <v>45882</v>
      </c>
      <c r="D32" t="inlineStr">
        <is>
          <t>STOCKHOLMS LÄN</t>
        </is>
      </c>
      <c r="E32" t="inlineStr">
        <is>
          <t>BOTKYRKA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45882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3021-2025</t>
        </is>
      </c>
      <c r="B34" s="1" t="n">
        <v>45678.57962962963</v>
      </c>
      <c r="C34" s="1" t="n">
        <v>45882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45882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177-2021</t>
        </is>
      </c>
      <c r="B36" s="1" t="n">
        <v>44200</v>
      </c>
      <c r="C36" s="1" t="n">
        <v>45882</v>
      </c>
      <c r="D36" t="inlineStr">
        <is>
          <t>STOCKHOLMS LÄN</t>
        </is>
      </c>
      <c r="E36" t="inlineStr">
        <is>
          <t>BOTKYRKA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45882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6059-2022</t>
        </is>
      </c>
      <c r="B38" s="1" t="n">
        <v>44599</v>
      </c>
      <c r="C38" s="1" t="n">
        <v>45882</v>
      </c>
      <c r="D38" t="inlineStr">
        <is>
          <t>STOCKHOLMS LÄN</t>
        </is>
      </c>
      <c r="E38" t="inlineStr">
        <is>
          <t>BOTKYRKA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45882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9032-2023</t>
        </is>
      </c>
      <c r="B40" s="1" t="n">
        <v>44979</v>
      </c>
      <c r="C40" s="1" t="n">
        <v>45882</v>
      </c>
      <c r="D40" t="inlineStr">
        <is>
          <t>STOCKHOLMS LÄN</t>
        </is>
      </c>
      <c r="E40" t="inlineStr">
        <is>
          <t>BOTKYRKA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27-2025</t>
        </is>
      </c>
      <c r="B41" s="1" t="n">
        <v>45658.973125</v>
      </c>
      <c r="C41" s="1" t="n">
        <v>45882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10815-2021</t>
        </is>
      </c>
      <c r="B42" s="1" t="n">
        <v>44259</v>
      </c>
      <c r="C42" s="1" t="n">
        <v>45882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45882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45882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14217-2025</t>
        </is>
      </c>
      <c r="B45" s="1" t="n">
        <v>45740.58534722222</v>
      </c>
      <c r="C45" s="1" t="n">
        <v>45882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45882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45882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61320-2024</t>
        </is>
      </c>
      <c r="B48" s="1" t="n">
        <v>45646.33262731481</v>
      </c>
      <c r="C48" s="1" t="n">
        <v>45882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45882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17446-2025</t>
        </is>
      </c>
      <c r="B50" s="1" t="n">
        <v>45757.44001157407</v>
      </c>
      <c r="C50" s="1" t="n">
        <v>45882</v>
      </c>
      <c r="D50" t="inlineStr">
        <is>
          <t>STOCKHOLMS LÄN</t>
        </is>
      </c>
      <c r="E50" t="inlineStr">
        <is>
          <t>BOTKYRKA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16142-2024</t>
        </is>
      </c>
      <c r="B51" s="1" t="n">
        <v>45406</v>
      </c>
      <c r="C51" s="1" t="n">
        <v>45882</v>
      </c>
      <c r="D51" t="inlineStr">
        <is>
          <t>STOCKHOLMS LÄN</t>
        </is>
      </c>
      <c r="E51" t="inlineStr">
        <is>
          <t>BOTKYRKA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11876-2024</t>
        </is>
      </c>
      <c r="B52" s="1" t="n">
        <v>45376.47072916666</v>
      </c>
      <c r="C52" s="1" t="n">
        <v>45882</v>
      </c>
      <c r="D52" t="inlineStr">
        <is>
          <t>STOCKHOLMS LÄN</t>
        </is>
      </c>
      <c r="E52" t="inlineStr">
        <is>
          <t>BOTKYRKA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54002-2020</t>
        </is>
      </c>
      <c r="B53" s="1" t="n">
        <v>44125</v>
      </c>
      <c r="C53" s="1" t="n">
        <v>45882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53979-2020</t>
        </is>
      </c>
      <c r="B54" s="1" t="n">
        <v>44125</v>
      </c>
      <c r="C54" s="1" t="n">
        <v>45882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48656-2022</t>
        </is>
      </c>
      <c r="B55" s="1" t="n">
        <v>44859.43993055556</v>
      </c>
      <c r="C55" s="1" t="n">
        <v>45882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38194-2022</t>
        </is>
      </c>
      <c r="B56" s="1" t="n">
        <v>44812</v>
      </c>
      <c r="C56" s="1" t="n">
        <v>45882</v>
      </c>
      <c r="D56" t="inlineStr">
        <is>
          <t>STOCKHOLMS LÄN</t>
        </is>
      </c>
      <c r="E56" t="inlineStr">
        <is>
          <t>BOTKYRKA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45882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16483-2023</t>
        </is>
      </c>
      <c r="B58" s="1" t="n">
        <v>45029</v>
      </c>
      <c r="C58" s="1" t="n">
        <v>45882</v>
      </c>
      <c r="D58" t="inlineStr">
        <is>
          <t>STOCKHOLMS LÄN</t>
        </is>
      </c>
      <c r="E58" t="inlineStr">
        <is>
          <t>BOTKYRKA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45882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16149-2024</t>
        </is>
      </c>
      <c r="B60" s="1" t="n">
        <v>45406.56984953704</v>
      </c>
      <c r="C60" s="1" t="n">
        <v>45882</v>
      </c>
      <c r="D60" t="inlineStr">
        <is>
          <t>STOCKHOLMS LÄN</t>
        </is>
      </c>
      <c r="E60" t="inlineStr">
        <is>
          <t>BOTKYRKA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3726-2022</t>
        </is>
      </c>
      <c r="B61" s="1" t="n">
        <v>44586</v>
      </c>
      <c r="C61" s="1" t="n">
        <v>45882</v>
      </c>
      <c r="D61" t="inlineStr">
        <is>
          <t>STOCKHOLMS LÄN</t>
        </is>
      </c>
      <c r="E61" t="inlineStr">
        <is>
          <t>BOTKYRKA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45882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45882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55200-2020</t>
        </is>
      </c>
      <c r="B64" s="1" t="n">
        <v>44130</v>
      </c>
      <c r="C64" s="1" t="n">
        <v>45882</v>
      </c>
      <c r="D64" t="inlineStr">
        <is>
          <t>STOCKHOLMS LÄN</t>
        </is>
      </c>
      <c r="E64" t="inlineStr">
        <is>
          <t>BOTKYRKA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57809-2020</t>
        </is>
      </c>
      <c r="B65" s="1" t="n">
        <v>44141</v>
      </c>
      <c r="C65" s="1" t="n">
        <v>45882</v>
      </c>
      <c r="D65" t="inlineStr">
        <is>
          <t>STOCKHOLMS LÄN</t>
        </is>
      </c>
      <c r="E65" t="inlineStr">
        <is>
          <t>BOTKYRKA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45882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46405-2022</t>
        </is>
      </c>
      <c r="B67" s="1" t="n">
        <v>44846</v>
      </c>
      <c r="C67" s="1" t="n">
        <v>45882</v>
      </c>
      <c r="D67" t="inlineStr">
        <is>
          <t>STOCKHOLMS LÄN</t>
        </is>
      </c>
      <c r="E67" t="inlineStr">
        <is>
          <t>BOTKYRKA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45882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45882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45882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8528-2024</t>
        </is>
      </c>
      <c r="B71" s="1" t="n">
        <v>45355.49099537037</v>
      </c>
      <c r="C71" s="1" t="n">
        <v>45882</v>
      </c>
      <c r="D71" t="inlineStr">
        <is>
          <t>STOCKHOLMS LÄN</t>
        </is>
      </c>
      <c r="E71" t="inlineStr">
        <is>
          <t>BOTKYRKA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45882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3686-2022</t>
        </is>
      </c>
      <c r="B73" s="1" t="n">
        <v>44586.57239583333</v>
      </c>
      <c r="C73" s="1" t="n">
        <v>45882</v>
      </c>
      <c r="D73" t="inlineStr">
        <is>
          <t>STOCKHOLMS LÄN</t>
        </is>
      </c>
      <c r="E73" t="inlineStr">
        <is>
          <t>BOTKYRKA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45882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45882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35180-2024</t>
        </is>
      </c>
      <c r="B76" s="1" t="n">
        <v>45530</v>
      </c>
      <c r="C76" s="1" t="n">
        <v>45882</v>
      </c>
      <c r="D76" t="inlineStr">
        <is>
          <t>STOCKHOLMS LÄN</t>
        </is>
      </c>
      <c r="E76" t="inlineStr">
        <is>
          <t>BOTKYRKA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61514-2022</t>
        </is>
      </c>
      <c r="B77" s="1" t="n">
        <v>44916</v>
      </c>
      <c r="C77" s="1" t="n">
        <v>45882</v>
      </c>
      <c r="D77" t="inlineStr">
        <is>
          <t>STOCKHOLMS LÄN</t>
        </is>
      </c>
      <c r="E77" t="inlineStr">
        <is>
          <t>BOTKYRKA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2025-08-13T08:29:23Z</dcterms:created>
  <dcterms:modified xmlns:dcterms="http://purl.org/dc/terms/" xmlns:xsi="http://www.w3.org/2001/XMLSchema-instance" xsi:type="dcterms:W3CDTF">2025-08-13T08:29:23Z</dcterms:modified>
</cp:coreProperties>
</file>