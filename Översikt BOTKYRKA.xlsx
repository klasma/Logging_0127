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45660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45660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45660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45660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38429-2024</t>
        </is>
      </c>
      <c r="B6" s="1" t="n">
        <v>45546</v>
      </c>
      <c r="C6" s="1" t="n">
        <v>45660</v>
      </c>
      <c r="D6" t="inlineStr">
        <is>
          <t>STOCKHOLMS LÄN</t>
        </is>
      </c>
      <c r="E6" t="inlineStr">
        <is>
          <t>BOTKYRKA</t>
        </is>
      </c>
      <c r="G6" t="n">
        <v>3.2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Duvhök
Spillkråka
Mattlummer</t>
        </is>
      </c>
      <c r="S6">
        <f>HYPERLINK("https://klasma.github.io/Logging_0127/artfynd/A 38429-2024 artfynd.xlsx", "A 38429-2024")</f>
        <v/>
      </c>
      <c r="T6">
        <f>HYPERLINK("https://klasma.github.io/Logging_0127/kartor/A 38429-2024 karta.png", "A 38429-2024")</f>
        <v/>
      </c>
      <c r="V6">
        <f>HYPERLINK("https://klasma.github.io/Logging_0127/klagomål/A 38429-2024 FSC-klagomål.docx", "A 38429-2024")</f>
        <v/>
      </c>
      <c r="W6">
        <f>HYPERLINK("https://klasma.github.io/Logging_0127/klagomålsmail/A 38429-2024 FSC-klagomål mail.docx", "A 38429-2024")</f>
        <v/>
      </c>
      <c r="X6">
        <f>HYPERLINK("https://klasma.github.io/Logging_0127/tillsyn/A 38429-2024 tillsynsbegäran.docx", "A 38429-2024")</f>
        <v/>
      </c>
      <c r="Y6">
        <f>HYPERLINK("https://klasma.github.io/Logging_0127/tillsynsmail/A 38429-2024 tillsynsbegäran mail.docx", "A 38429-2024")</f>
        <v/>
      </c>
      <c r="Z6">
        <f>HYPERLINK("https://klasma.github.io/Logging_0127/fåglar/A 38429-2024 prioriterade fågelarter.docx", "A 38429-2024")</f>
        <v/>
      </c>
    </row>
    <row r="7" ht="15" customHeight="1">
      <c r="A7" t="inlineStr">
        <is>
          <t>A 48266-2024</t>
        </is>
      </c>
      <c r="B7" s="1" t="n">
        <v>45590</v>
      </c>
      <c r="C7" s="1" t="n">
        <v>45660</v>
      </c>
      <c r="D7" t="inlineStr">
        <is>
          <t>STOCKHOLMS LÄN</t>
        </is>
      </c>
      <c r="E7" t="inlineStr">
        <is>
          <t>BOTKYRKA</t>
        </is>
      </c>
      <c r="G7" t="n">
        <v>1.6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Brandtaggsvamp
Fyrflikig jordstjärna
Spillkråka</t>
        </is>
      </c>
      <c r="S7">
        <f>HYPERLINK("https://klasma.github.io/Logging_0127/artfynd/A 48266-2024 artfynd.xlsx", "A 48266-2024")</f>
        <v/>
      </c>
      <c r="T7">
        <f>HYPERLINK("https://klasma.github.io/Logging_0127/kartor/A 48266-2024 karta.png", "A 48266-2024")</f>
        <v/>
      </c>
      <c r="V7">
        <f>HYPERLINK("https://klasma.github.io/Logging_0127/klagomål/A 48266-2024 FSC-klagomål.docx", "A 48266-2024")</f>
        <v/>
      </c>
      <c r="W7">
        <f>HYPERLINK("https://klasma.github.io/Logging_0127/klagomålsmail/A 48266-2024 FSC-klagomål mail.docx", "A 48266-2024")</f>
        <v/>
      </c>
      <c r="X7">
        <f>HYPERLINK("https://klasma.github.io/Logging_0127/tillsyn/A 48266-2024 tillsynsbegäran.docx", "A 48266-2024")</f>
        <v/>
      </c>
      <c r="Y7">
        <f>HYPERLINK("https://klasma.github.io/Logging_0127/tillsynsmail/A 48266-2024 tillsynsbegäran mail.docx", "A 48266-2024")</f>
        <v/>
      </c>
      <c r="Z7">
        <f>HYPERLINK("https://klasma.github.io/Logging_0127/fåglar/A 48266-2024 prioriterade fågelarter.docx", "A 48266-2024")</f>
        <v/>
      </c>
    </row>
    <row r="8" ht="15" customHeight="1">
      <c r="A8" t="inlineStr">
        <is>
          <t>A 28-2025</t>
        </is>
      </c>
      <c r="B8" s="1" t="n">
        <v>45659</v>
      </c>
      <c r="C8" s="1" t="n">
        <v>45660</v>
      </c>
      <c r="D8" t="inlineStr">
        <is>
          <t>STOCKHOLMS LÄN</t>
        </is>
      </c>
      <c r="E8" t="inlineStr">
        <is>
          <t>BOTKYRKA</t>
        </is>
      </c>
      <c r="G8" t="n">
        <v>4.1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Motaggsvamp
Blomkålssvamp
Granbarkgnagare</t>
        </is>
      </c>
      <c r="S8">
        <f>HYPERLINK("https://klasma.github.io/Logging_0127/artfynd/A 28-2025 artfynd.xlsx", "A 28-2025")</f>
        <v/>
      </c>
      <c r="T8">
        <f>HYPERLINK("https://klasma.github.io/Logging_0127/kartor/A 28-2025 karta.png", "A 28-2025")</f>
        <v/>
      </c>
      <c r="V8">
        <f>HYPERLINK("https://klasma.github.io/Logging_0127/klagomål/A 28-2025 FSC-klagomål.docx", "A 28-2025")</f>
        <v/>
      </c>
      <c r="W8">
        <f>HYPERLINK("https://klasma.github.io/Logging_0127/klagomålsmail/A 28-2025 FSC-klagomål mail.docx", "A 28-2025")</f>
        <v/>
      </c>
      <c r="X8">
        <f>HYPERLINK("https://klasma.github.io/Logging_0127/tillsyn/A 28-2025 tillsynsbegäran.docx", "A 28-2025")</f>
        <v/>
      </c>
      <c r="Y8">
        <f>HYPERLINK("https://klasma.github.io/Logging_0127/tillsynsmail/A 28-2025 tillsynsbegäran mail.docx", "A 28-2025")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45660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45660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45660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45660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45660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5953-2020</t>
        </is>
      </c>
      <c r="B14" s="1" t="n">
        <v>43864</v>
      </c>
      <c r="C14" s="1" t="n">
        <v>45660</v>
      </c>
      <c r="D14" t="inlineStr">
        <is>
          <t>STOCKHOLMS LÄN</t>
        </is>
      </c>
      <c r="E14" t="inlineStr">
        <is>
          <t>BOTKYRKA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HYPERLINK("https://klasma.github.io/Logging_0127/artfynd/A 5953-2020 artfynd.xlsx", "A 5953-2020")</f>
        <v/>
      </c>
      <c r="T14">
        <f>HYPERLINK("https://klasma.github.io/Logging_0127/kartor/A 5953-2020 karta.png", "A 5953-2020")</f>
        <v/>
      </c>
      <c r="V14">
        <f>HYPERLINK("https://klasma.github.io/Logging_0127/klagomål/A 5953-2020 FSC-klagomål.docx", "A 5953-2020")</f>
        <v/>
      </c>
      <c r="W14">
        <f>HYPERLINK("https://klasma.github.io/Logging_0127/klagomålsmail/A 5953-2020 FSC-klagomål mail.docx", "A 5953-2020")</f>
        <v/>
      </c>
      <c r="X14">
        <f>HYPERLINK("https://klasma.github.io/Logging_0127/tillsyn/A 5953-2020 tillsynsbegäran.docx", "A 5953-2020")</f>
        <v/>
      </c>
      <c r="Y14">
        <f>HYPERLINK("https://klasma.github.io/Logging_0127/tillsynsmail/A 5953-2020 tillsynsbegäran mail.docx", "A 5953-2020")</f>
        <v/>
      </c>
      <c r="Z14">
        <f>HYPERLINK("https://klasma.github.io/Logging_0127/fåglar/A 5953-2020 prioriterade fågelarter.docx", "A 5953-2020")</f>
        <v/>
      </c>
    </row>
    <row r="15" ht="15" customHeight="1">
      <c r="A15" t="inlineStr">
        <is>
          <t>A 16236-2020</t>
        </is>
      </c>
      <c r="B15" s="1" t="n">
        <v>43917</v>
      </c>
      <c r="C15" s="1" t="n">
        <v>45660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Granbarkgnagare</t>
        </is>
      </c>
      <c r="S15">
        <f>HYPERLINK("https://klasma.github.io/Logging_0127/artfynd/A 16236-2020 artfynd.xlsx", "A 16236-2020")</f>
        <v/>
      </c>
      <c r="T15">
        <f>HYPERLINK("https://klasma.github.io/Logging_0127/kartor/A 16236-2020 karta.png", "A 16236-2020")</f>
        <v/>
      </c>
      <c r="V15">
        <f>HYPERLINK("https://klasma.github.io/Logging_0127/klagomål/A 16236-2020 FSC-klagomål.docx", "A 16236-2020")</f>
        <v/>
      </c>
      <c r="W15">
        <f>HYPERLINK("https://klasma.github.io/Logging_0127/klagomålsmail/A 16236-2020 FSC-klagomål mail.docx", "A 16236-2020")</f>
        <v/>
      </c>
      <c r="X15">
        <f>HYPERLINK("https://klasma.github.io/Logging_0127/tillsyn/A 16236-2020 tillsynsbegäran.docx", "A 16236-2020")</f>
        <v/>
      </c>
      <c r="Y15">
        <f>HYPERLINK("https://klasma.github.io/Logging_0127/tillsynsmail/A 16236-2020 tillsynsbegäran mail.docx", "A 16236-2020")</f>
        <v/>
      </c>
    </row>
    <row r="16" ht="15" customHeight="1">
      <c r="A16" t="inlineStr">
        <is>
          <t>A 34971-2020</t>
        </is>
      </c>
      <c r="B16" s="1" t="n">
        <v>44039</v>
      </c>
      <c r="C16" s="1" t="n">
        <v>45660</v>
      </c>
      <c r="D16" t="inlineStr">
        <is>
          <t>STOCKHOLMS LÄN</t>
        </is>
      </c>
      <c r="E16" t="inlineStr">
        <is>
          <t>BOTKYRKA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34971-2020 artfynd.xlsx", "A 34971-2020")</f>
        <v/>
      </c>
      <c r="T16">
        <f>HYPERLINK("https://klasma.github.io/Logging_0127/kartor/A 34971-2020 karta.png", "A 34971-2020")</f>
        <v/>
      </c>
      <c r="V16">
        <f>HYPERLINK("https://klasma.github.io/Logging_0127/klagomål/A 34971-2020 FSC-klagomål.docx", "A 34971-2020")</f>
        <v/>
      </c>
      <c r="W16">
        <f>HYPERLINK("https://klasma.github.io/Logging_0127/klagomålsmail/A 34971-2020 FSC-klagomål mail.docx", "A 34971-2020")</f>
        <v/>
      </c>
      <c r="X16">
        <f>HYPERLINK("https://klasma.github.io/Logging_0127/tillsyn/A 34971-2020 tillsynsbegäran.docx", "A 34971-2020")</f>
        <v/>
      </c>
      <c r="Y16">
        <f>HYPERLINK("https://klasma.github.io/Logging_0127/tillsynsmail/A 34971-2020 tillsynsbegäran mail.docx", "A 34971-2020")</f>
        <v/>
      </c>
    </row>
    <row r="17" ht="15" customHeight="1">
      <c r="A17" t="inlineStr">
        <is>
          <t>A 10469-2022</t>
        </is>
      </c>
      <c r="B17" s="1" t="n">
        <v>44623</v>
      </c>
      <c r="C17" s="1" t="n">
        <v>45660</v>
      </c>
      <c r="D17" t="inlineStr">
        <is>
          <t>STOCKHOLMS LÄN</t>
        </is>
      </c>
      <c r="E17" t="inlineStr">
        <is>
          <t>BOTKYRKA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10469-2022 artfynd.xlsx", "A 10469-2022")</f>
        <v/>
      </c>
      <c r="T17">
        <f>HYPERLINK("https://klasma.github.io/Logging_0127/kartor/A 10469-2022 karta.png", "A 10469-2022")</f>
        <v/>
      </c>
      <c r="V17">
        <f>HYPERLINK("https://klasma.github.io/Logging_0127/klagomål/A 10469-2022 FSC-klagomål.docx", "A 10469-2022")</f>
        <v/>
      </c>
      <c r="W17">
        <f>HYPERLINK("https://klasma.github.io/Logging_0127/klagomålsmail/A 10469-2022 FSC-klagomål mail.docx", "A 10469-2022")</f>
        <v/>
      </c>
      <c r="X17">
        <f>HYPERLINK("https://klasma.github.io/Logging_0127/tillsyn/A 10469-2022 tillsynsbegäran.docx", "A 10469-2022")</f>
        <v/>
      </c>
      <c r="Y17">
        <f>HYPERLINK("https://klasma.github.io/Logging_0127/tillsynsmail/A 10469-2022 tillsynsbegäran mail.docx", "A 10469-2022")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45660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45660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5574-2023</t>
        </is>
      </c>
      <c r="B20" s="1" t="n">
        <v>44960</v>
      </c>
      <c r="C20" s="1" t="n">
        <v>45660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5574-2023 artfynd.xlsx", "A 5574-2023")</f>
        <v/>
      </c>
      <c r="T20">
        <f>HYPERLINK("https://klasma.github.io/Logging_0127/kartor/A 5574-2023 karta.png", "A 5574-2023")</f>
        <v/>
      </c>
      <c r="V20">
        <f>HYPERLINK("https://klasma.github.io/Logging_0127/klagomål/A 5574-2023 FSC-klagomål.docx", "A 5574-2023")</f>
        <v/>
      </c>
      <c r="W20">
        <f>HYPERLINK("https://klasma.github.io/Logging_0127/klagomålsmail/A 5574-2023 FSC-klagomål mail.docx", "A 5574-2023")</f>
        <v/>
      </c>
      <c r="X20">
        <f>HYPERLINK("https://klasma.github.io/Logging_0127/tillsyn/A 5574-2023 tillsynsbegäran.docx", "A 5574-2023")</f>
        <v/>
      </c>
      <c r="Y20">
        <f>HYPERLINK("https://klasma.github.io/Logging_0127/tillsynsmail/A 5574-2023 tillsynsbegäran mail.docx", "A 5574-2023")</f>
        <v/>
      </c>
    </row>
    <row r="21" ht="15" customHeight="1">
      <c r="A21" t="inlineStr">
        <is>
          <t>A 23829-2023</t>
        </is>
      </c>
      <c r="B21" s="1" t="n">
        <v>45078</v>
      </c>
      <c r="C21" s="1" t="n">
        <v>45660</v>
      </c>
      <c r="D21" t="inlineStr">
        <is>
          <t>STOCKHOLMS LÄN</t>
        </is>
      </c>
      <c r="E21" t="inlineStr">
        <is>
          <t>BOTKYRKA</t>
        </is>
      </c>
      <c r="F21" t="inlineStr">
        <is>
          <t>Kommuner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HYPERLINK("https://klasma.github.io/Logging_0127/artfynd/A 23829-2023 artfynd.xlsx", "A 23829-2023")</f>
        <v/>
      </c>
      <c r="T21">
        <f>HYPERLINK("https://klasma.github.io/Logging_0127/kartor/A 23829-2023 karta.png", "A 23829-2023")</f>
        <v/>
      </c>
      <c r="V21">
        <f>HYPERLINK("https://klasma.github.io/Logging_0127/klagomål/A 23829-2023 FSC-klagomål.docx", "A 23829-2023")</f>
        <v/>
      </c>
      <c r="W21">
        <f>HYPERLINK("https://klasma.github.io/Logging_0127/klagomålsmail/A 23829-2023 FSC-klagomål mail.docx", "A 23829-2023")</f>
        <v/>
      </c>
      <c r="X21">
        <f>HYPERLINK("https://klasma.github.io/Logging_0127/tillsyn/A 23829-2023 tillsynsbegäran.docx", "A 23829-2023")</f>
        <v/>
      </c>
      <c r="Y21">
        <f>HYPERLINK("https://klasma.github.io/Logging_0127/tillsynsmail/A 23829-2023 tillsynsbegäran mail.docx", "A 23829-2023")</f>
        <v/>
      </c>
    </row>
    <row r="22" ht="15" customHeight="1">
      <c r="A22" t="inlineStr">
        <is>
          <t>A 26-2025</t>
        </is>
      </c>
      <c r="B22" s="1" t="n">
        <v>45659</v>
      </c>
      <c r="C22" s="1" t="n">
        <v>45660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HYPERLINK("https://klasma.github.io/Logging_0127/artfynd/A 26-2025 artfynd.xlsx", "A 26-2025")</f>
        <v/>
      </c>
      <c r="T22">
        <f>HYPERLINK("https://klasma.github.io/Logging_0127/kartor/A 26-2025 karta.png", "A 26-2025")</f>
        <v/>
      </c>
      <c r="V22">
        <f>HYPERLINK("https://klasma.github.io/Logging_0127/klagomål/A 26-2025 FSC-klagomål.docx", "A 26-2025")</f>
        <v/>
      </c>
      <c r="W22">
        <f>HYPERLINK("https://klasma.github.io/Logging_0127/klagomålsmail/A 26-2025 FSC-klagomål mail.docx", "A 26-2025")</f>
        <v/>
      </c>
      <c r="X22">
        <f>HYPERLINK("https://klasma.github.io/Logging_0127/tillsyn/A 26-2025 tillsynsbegäran.docx", "A 26-2025")</f>
        <v/>
      </c>
      <c r="Y22">
        <f>HYPERLINK("https://klasma.github.io/Logging_0127/tillsynsmail/A 26-2025 tillsynsbegäran mail.docx", "A 26-2025")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45660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45660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45660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45660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45660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45660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45660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45660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45660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45660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45660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45660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45660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45660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45660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45660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45660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45660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45660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45660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45660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45660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45660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45660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45660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45660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45660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45660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45660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45660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45660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45660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45660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45660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45660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45660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45660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45660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45660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45660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45660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45660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45660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45660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45660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45660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45660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45660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45660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45660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45660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45660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45660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45660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45660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45660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45660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45660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45660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45660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45660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45660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45660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45660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45660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45660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45660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45660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45660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45660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45660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45660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45660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45660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45660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45660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45660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45660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45660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45660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45660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45660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45660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45660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45660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45660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45660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45660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45660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45660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45660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45660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45660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45660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45660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45660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45660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45660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45660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45660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45660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45660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45660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45660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45660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45660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45660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45660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45660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45660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45660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45660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45660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45660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45660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45660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45660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44-2025</t>
        </is>
      </c>
      <c r="B140" s="1" t="n">
        <v>45659</v>
      </c>
      <c r="C140" s="1" t="n">
        <v>45660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2025-01-03T15:48:20Z</dcterms:created>
  <dcterms:modified xmlns:dcterms="http://purl.org/dc/terms/" xmlns:xsi="http://www.w3.org/2001/XMLSchema-instance" xsi:type="dcterms:W3CDTF">2025-01-03T15:48:20Z</dcterms:modified>
</cp:coreProperties>
</file>