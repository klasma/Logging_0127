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46261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46261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46261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46261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46261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46261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t="n">
        <v>88</v>
      </c>
      <c r="V7" s="2" t="inlineStr">
        <is>
          <t>Igelkott
Lammticka
Motaggsvamp
Skarp dropptaggsvamp
Svartvit taggsvamp
Tallticka
Talltita
Mindre märgborre</t>
        </is>
      </c>
      <c r="W7">
        <f>HYPERLINK("https://klasma.github.io/Logging_0127/artfynd/A 48514-2025 artfynd.xlsx", "A 48514-2025")</f>
        <v/>
      </c>
      <c r="X7">
        <f>HYPERLINK("https://klasma.github.io/Logging_0127/kartor/A 48514-2025 karta.png", "A 48514-2025")</f>
        <v/>
      </c>
      <c r="Y7">
        <f>HYPERLINK("https://klasma.github.io/Logging_0127/kartor_geotiff/A 48514-2025 georefererad karta.tif", "A 48514-2025")</f>
        <v/>
      </c>
      <c r="AA7">
        <f>HYPERLINK("https://klasma.github.io/Logging_0127/klagomål/A 48514-2025 FSC-klagomål.docx", "A 48514-2025")</f>
        <v/>
      </c>
      <c r="AB7">
        <f>HYPERLINK("https://klasma.github.io/Logging_0127/klagomålsmail/A 48514-2025 FSC-klagomål mail.docx", "A 48514-2025")</f>
        <v/>
      </c>
      <c r="AC7">
        <f>HYPERLINK("https://klasma.github.io/Logging_0127/tillsyn/A 48514-2025 tillsynsbegäran.docx", "A 48514-2025")</f>
        <v/>
      </c>
      <c r="AD7">
        <f>HYPERLINK("https://klasma.github.io/Logging_0127/tillsynsmail/A 48514-2025 tillsynsbegäran mail.docx", "A 48514-2025")</f>
        <v/>
      </c>
      <c r="AE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46261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t="n">
        <v>3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46261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46261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46261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46261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46261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46261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46261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46261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46261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46261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46261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46261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46261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46261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46261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46261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12305-2026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46087</v>
      </c>
      <c r="E25" s="1" t="n">
        <v>46261</v>
      </c>
      <c r="F25" t="inlineStr">
        <is>
          <t>STOCKHOLMS LÄN</t>
        </is>
      </c>
      <c r="G25" t="inlineStr">
        <is>
          <t>BOTKYRKA</t>
        </is>
      </c>
      <c r="H25" t="inlineStr">
        <is>
          <t>Övriga Aktiebolag</t>
        </is>
      </c>
      <c r="I25" t="n">
        <v>2.4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HYPERLINK("https://klasma.github.io/Logging_0127/artfynd/A 12305-2026 artfynd.xlsx", "A 12305-2026")</f>
        <v/>
      </c>
      <c r="X25">
        <f>HYPERLINK("https://klasma.github.io/Logging_0127/kartor/A 12305-2026 karta.png", "A 12305-2026")</f>
        <v/>
      </c>
      <c r="Y25">
        <f>HYPERLINK("https://klasma.github.io/Logging_0127/kartor_geotiff/A 12305-2026 georefererad karta.tif", "A 12305-2026")</f>
        <v/>
      </c>
      <c r="AA25">
        <f>HYPERLINK("https://klasma.github.io/Logging_0127/klagomål/A 12305-2026 FSC-klagomål.docx", "A 12305-2026")</f>
        <v/>
      </c>
      <c r="AB25">
        <f>HYPERLINK("https://klasma.github.io/Logging_0127/klagomålsmail/A 12305-2026 FSC-klagomål mail.docx", "A 12305-2026")</f>
        <v/>
      </c>
      <c r="AC25">
        <f>HYPERLINK("https://klasma.github.io/Logging_0127/tillsyn/A 12305-2026 tillsynsbegäran.docx", "A 12305-2026")</f>
        <v/>
      </c>
      <c r="AD25">
        <f>HYPERLINK("https://klasma.github.io/Logging_0127/tillsynsmail/A 12305-2026 tillsynsbegäran mail.docx", "A 12305-2026")</f>
        <v/>
      </c>
      <c r="AE25">
        <f>HYPERLINK("https://klasma.github.io/Logging_0127/fåglar/A 12305-2026 prioriterade fågelarter.docx", "A 12305-2026")</f>
        <v/>
      </c>
    </row>
    <row r="26" ht="15" customHeight="1">
      <c r="A26" t="inlineStr">
        <is>
          <t>A 12590-2026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46090</v>
      </c>
      <c r="E26" s="1" t="n">
        <v>46261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1.5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hackspett</t>
        </is>
      </c>
      <c r="W26">
        <f>HYPERLINK("https://klasma.github.io/Logging_0127/artfynd/A 12590-2026 artfynd.xlsx", "A 12590-2026")</f>
        <v/>
      </c>
      <c r="X26">
        <f>HYPERLINK("https://klasma.github.io/Logging_0127/kartor/A 12590-2026 karta.png", "A 12590-2026")</f>
        <v/>
      </c>
      <c r="Y26">
        <f>HYPERLINK("https://klasma.github.io/Logging_0127/kartor_geotiff/A 12590-2026 georefererad karta.tif", "A 12590-2026")</f>
        <v/>
      </c>
      <c r="AA26">
        <f>HYPERLINK("https://klasma.github.io/Logging_0127/klagomål/A 12590-2026 FSC-klagomål.docx", "A 12590-2026")</f>
        <v/>
      </c>
      <c r="AB26">
        <f>HYPERLINK("https://klasma.github.io/Logging_0127/klagomålsmail/A 12590-2026 FSC-klagomål mail.docx", "A 12590-2026")</f>
        <v/>
      </c>
      <c r="AC26">
        <f>HYPERLINK("https://klasma.github.io/Logging_0127/tillsyn/A 12590-2026 tillsynsbegäran.docx", "A 12590-2026")</f>
        <v/>
      </c>
      <c r="AD26">
        <f>HYPERLINK("https://klasma.github.io/Logging_0127/tillsynsmail/A 12590-2026 tillsynsbegäran mail.docx", "A 12590-2026")</f>
        <v/>
      </c>
      <c r="AE26">
        <f>HYPERLINK("https://klasma.github.io/Logging_0127/fåglar/A 12590-2026 prioriterade fågelarter.docx", "A 12590-2026")</f>
        <v/>
      </c>
    </row>
    <row r="27" ht="15" customHeight="1">
      <c r="A27" t="inlineStr">
        <is>
          <t>A 12842-2026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46092</v>
      </c>
      <c r="E27" s="1" t="n">
        <v>46261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Fyrflikig jordstjärna</t>
        </is>
      </c>
      <c r="W27">
        <f>HYPERLINK("https://klasma.github.io/Logging_0127/artfynd/A 12842-2026 artfynd.xlsx", "A 12842-2026")</f>
        <v/>
      </c>
      <c r="X27">
        <f>HYPERLINK("https://klasma.github.io/Logging_0127/kartor/A 12842-2026 karta.png", "A 12842-2026")</f>
        <v/>
      </c>
      <c r="Y27">
        <f>HYPERLINK("https://klasma.github.io/Logging_0127/kartor_geotiff/A 12842-2026 georefererad karta.tif", "A 12842-2026")</f>
        <v/>
      </c>
      <c r="AA27">
        <f>HYPERLINK("https://klasma.github.io/Logging_0127/klagomål/A 12842-2026 FSC-klagomål.docx", "A 12842-2026")</f>
        <v/>
      </c>
      <c r="AB27">
        <f>HYPERLINK("https://klasma.github.io/Logging_0127/klagomålsmail/A 12842-2026 FSC-klagomål mail.docx", "A 12842-2026")</f>
        <v/>
      </c>
      <c r="AC27">
        <f>HYPERLINK("https://klasma.github.io/Logging_0127/tillsyn/A 12842-2026 tillsynsbegäran.docx", "A 12842-2026")</f>
        <v/>
      </c>
      <c r="AD27">
        <f>HYPERLINK("https://klasma.github.io/Logging_0127/tillsynsmail/A 12842-2026 tillsynsbegäran mail.docx", "A 12842-2026")</f>
        <v/>
      </c>
    </row>
    <row r="28" ht="15" customHeight="1">
      <c r="A28" t="inlineStr">
        <is>
          <t>A 61514-2022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44916</v>
      </c>
      <c r="E28" s="1" t="n">
        <v>46261</v>
      </c>
      <c r="F28" t="inlineStr">
        <is>
          <t>STOCKHOLMS LÄN</t>
        </is>
      </c>
      <c r="G28" t="inlineStr">
        <is>
          <t>BOTKYRKA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Vanlig groda</t>
        </is>
      </c>
      <c r="W28">
        <f>HYPERLINK("https://klasma.github.io/Logging_0127/artfynd/A 61514-2022 artfynd.xlsx", "A 61514-2022")</f>
        <v/>
      </c>
      <c r="X28">
        <f>HYPERLINK("https://klasma.github.io/Logging_0127/kartor/A 61514-2022 karta.png", "A 61514-2022")</f>
        <v/>
      </c>
      <c r="Y28">
        <f>HYPERLINK("https://klasma.github.io/Logging_0127/kartor_geotiff/A 61514-2022 georefererad karta.tif", "A 61514-2022")</f>
        <v/>
      </c>
      <c r="AA28">
        <f>HYPERLINK("https://klasma.github.io/Logging_0127/klagomål/A 61514-2022 FSC-klagomål.docx", "A 61514-2022")</f>
        <v/>
      </c>
      <c r="AB28">
        <f>HYPERLINK("https://klasma.github.io/Logging_0127/klagomålsmail/A 61514-2022 FSC-klagomål mail.docx", "A 61514-2022")</f>
        <v/>
      </c>
      <c r="AC28">
        <f>HYPERLINK("https://klasma.github.io/Logging_0127/tillsyn/A 61514-2022 tillsynsbegäran.docx", "A 61514-2022")</f>
        <v/>
      </c>
      <c r="AD28">
        <f>HYPERLINK("https://klasma.github.io/Logging_0127/tillsynsmail/A 61514-2022 tillsynsbegäran mail.docx", "A 61514-2022")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46261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46261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46261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46261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46261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46261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46261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46261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46261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46261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46261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46261</v>
      </c>
      <c r="F40" t="inlineStr">
        <is>
          <t>STOCKHOLMS LÄN</t>
        </is>
      </c>
      <c r="G40" t="inlineStr">
        <is>
          <t>BOTKYRKA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46405-2022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46261</v>
      </c>
      <c r="F41" t="inlineStr">
        <is>
          <t>STOCKHOLMS LÄN</t>
        </is>
      </c>
      <c r="G41" t="inlineStr">
        <is>
          <t>BOTKYRKA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46261</v>
      </c>
      <c r="F42" t="inlineStr">
        <is>
          <t>STOCKHOLMS LÄN</t>
        </is>
      </c>
      <c r="G42" t="inlineStr">
        <is>
          <t>BOTKYRKA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46261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46261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46261</v>
      </c>
      <c r="F45" t="inlineStr">
        <is>
          <t>STOCKHOLMS LÄN</t>
        </is>
      </c>
      <c r="G45" t="inlineStr">
        <is>
          <t>BOTKYRKA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54468-2025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46261</v>
      </c>
      <c r="F46" t="inlineStr">
        <is>
          <t>STOCKHOLMS LÄN</t>
        </is>
      </c>
      <c r="G46" t="inlineStr">
        <is>
          <t>BOTKYRKA</t>
        </is>
      </c>
      <c r="I46" t="n">
        <v>4.4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15692-2023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45020</v>
      </c>
      <c r="E47" s="1" t="n">
        <v>46261</v>
      </c>
      <c r="F47" t="inlineStr">
        <is>
          <t>STOCKHOLMS LÄN</t>
        </is>
      </c>
      <c r="G47" t="inlineStr">
        <is>
          <t>BOTKYRKA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14202-2025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45740</v>
      </c>
      <c r="E48" s="1" t="n">
        <v>46261</v>
      </c>
      <c r="F48" t="inlineStr">
        <is>
          <t>STOCKHOLMS LÄN</t>
        </is>
      </c>
      <c r="G48" t="inlineStr">
        <is>
          <t>BOTKYRKA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46261</v>
      </c>
      <c r="F49" t="inlineStr">
        <is>
          <t>STOCKHOLMS LÄN</t>
        </is>
      </c>
      <c r="G49" t="inlineStr">
        <is>
          <t>BOTKYRKA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23725-2026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46164</v>
      </c>
      <c r="E50" s="1" t="n">
        <v>46261</v>
      </c>
      <c r="F50" t="inlineStr">
        <is>
          <t>STOCKHOLMS LÄN</t>
        </is>
      </c>
      <c r="G50" t="inlineStr">
        <is>
          <t>BOTKYRKA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23718-2026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46164</v>
      </c>
      <c r="E51" s="1" t="n">
        <v>46261</v>
      </c>
      <c r="F51" t="inlineStr">
        <is>
          <t>STOCKHOLMS LÄN</t>
        </is>
      </c>
      <c r="G51" t="inlineStr">
        <is>
          <t>BOTKYRKA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46261</v>
      </c>
      <c r="F52" t="inlineStr">
        <is>
          <t>STOCKHOLMS LÄN</t>
        </is>
      </c>
      <c r="G52" t="inlineStr">
        <is>
          <t>BOTKYRKA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45062</v>
      </c>
      <c r="E53" s="1" t="n">
        <v>46261</v>
      </c>
      <c r="F53" t="inlineStr">
        <is>
          <t>STOCKHOLMS LÄN</t>
        </is>
      </c>
      <c r="G53" t="inlineStr">
        <is>
          <t>BOTKYRKA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45678</v>
      </c>
      <c r="E54" s="1" t="n">
        <v>46261</v>
      </c>
      <c r="F54" t="inlineStr">
        <is>
          <t>STOCKHOLMS LÄN</t>
        </is>
      </c>
      <c r="G54" t="inlineStr">
        <is>
          <t>BOTKYRKA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27717-2026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46190</v>
      </c>
      <c r="E55" s="1" t="n">
        <v>46261</v>
      </c>
      <c r="F55" t="inlineStr">
        <is>
          <t>STOCKHOLMS LÄN</t>
        </is>
      </c>
      <c r="G55" t="inlineStr">
        <is>
          <t>BOTKYRKA</t>
        </is>
      </c>
      <c r="H55" t="inlineStr">
        <is>
          <t>Övriga Aktiebolag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11867-2024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46261</v>
      </c>
      <c r="F56" t="inlineStr">
        <is>
          <t>STOCKHOLMS LÄN</t>
        </is>
      </c>
      <c r="G56" t="inlineStr">
        <is>
          <t>BOTKYRKA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46261</v>
      </c>
      <c r="F57" t="inlineStr">
        <is>
          <t>STOCKHOLMS LÄN</t>
        </is>
      </c>
      <c r="G57" t="inlineStr">
        <is>
          <t>BOTKYRKA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73194-2021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46261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35108-2026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46258</v>
      </c>
      <c r="E59" s="1" t="n">
        <v>46261</v>
      </c>
      <c r="F59" t="inlineStr">
        <is>
          <t>STOCKHOLMS LÄN</t>
        </is>
      </c>
      <c r="G59" t="inlineStr">
        <is>
          <t>BOTKYRKA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46261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6059-2022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44599</v>
      </c>
      <c r="E61" s="1" t="n">
        <v>46261</v>
      </c>
      <c r="F61" t="inlineStr">
        <is>
          <t>STOCKHOLMS LÄN</t>
        </is>
      </c>
      <c r="G61" t="inlineStr">
        <is>
          <t>BOTKYRKA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8528-2024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45355</v>
      </c>
      <c r="E62" s="1" t="n">
        <v>46261</v>
      </c>
      <c r="F62" t="inlineStr">
        <is>
          <t>STOCKHOLMS LÄN</t>
        </is>
      </c>
      <c r="G62" t="inlineStr">
        <is>
          <t>BOTKYRKA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46261</v>
      </c>
      <c r="F63" t="inlineStr">
        <is>
          <t>STOCKHOLMS LÄN</t>
        </is>
      </c>
      <c r="G63" t="inlineStr">
        <is>
          <t>BOTKYRKA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9032-2023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46261</v>
      </c>
      <c r="F64" t="inlineStr">
        <is>
          <t>STOCKHOLMS LÄN</t>
        </is>
      </c>
      <c r="G64" t="inlineStr">
        <is>
          <t>BOTKYRKA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25217-2024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45462</v>
      </c>
      <c r="E65" s="1" t="n">
        <v>46261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16483-2023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45029</v>
      </c>
      <c r="E66" s="1" t="n">
        <v>46261</v>
      </c>
      <c r="F66" t="inlineStr">
        <is>
          <t>STOCKHOLMS LÄN</t>
        </is>
      </c>
      <c r="G66" t="inlineStr">
        <is>
          <t>BOTKYRKA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46261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30925-2023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45113</v>
      </c>
      <c r="E68" s="1" t="n">
        <v>46261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45869-2022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46261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14217-2025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45740</v>
      </c>
      <c r="E70" s="1" t="n">
        <v>46261</v>
      </c>
      <c r="F70" t="inlineStr">
        <is>
          <t>STOCKHOLMS LÄN</t>
        </is>
      </c>
      <c r="G70" t="inlineStr">
        <is>
          <t>BOTKYRKA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11876-2024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45376</v>
      </c>
      <c r="E71" s="1" t="n">
        <v>46261</v>
      </c>
      <c r="F71" t="inlineStr">
        <is>
          <t>STOCKHOLMS LÄN</t>
        </is>
      </c>
      <c r="G71" t="inlineStr">
        <is>
          <t>BOTKYRKA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46261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46261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2026-08-27T01:49:45Z</dcterms:created>
  <dcterms:modified xmlns:dcterms="http://purl.org/dc/terms/" xmlns:xsi="http://www.w3.org/2001/XMLSchema-instance" xsi:type="dcterms:W3CDTF">2026-08-27T01:49:45Z</dcterms:modified>
</cp:coreProperties>
</file>