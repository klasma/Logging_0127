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695-2023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44930</v>
      </c>
      <c r="E2" s="1" t="n">
        <v>46291</v>
      </c>
      <c r="F2" t="inlineStr">
        <is>
          <t>STOCKHOLMS LÄN</t>
        </is>
      </c>
      <c r="G2" t="inlineStr">
        <is>
          <t>BOTKYRKA</t>
        </is>
      </c>
      <c r="I2" t="n">
        <v>13.6</v>
      </c>
      <c r="J2" t="n">
        <v>8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10</v>
      </c>
      <c r="T2" t="n">
        <v>18</v>
      </c>
      <c r="U2" t="n">
        <v>18</v>
      </c>
      <c r="V2" s="2" t="inlineStr">
        <is>
          <t>Brunlångöra
Dropptaggsvamp
Gulsparv
Motaggsvamp
Nordfladdermus
Spillkråka
Dvärgpipistrell
Kungsfågel
Större brunfladdermus
Vattenfladdermus</t>
        </is>
      </c>
      <c r="W2">
        <f>HYPERLINK("https://klasma.github.io/Logging_0127/artfynd/A 695-2023 artfynd.xlsx", "A 695-2023")</f>
        <v/>
      </c>
      <c r="X2">
        <f>HYPERLINK("https://klasma.github.io/Logging_0127/kartor/A 695-2023 karta.png", "A 695-2023")</f>
        <v/>
      </c>
      <c r="Y2">
        <f>HYPERLINK("https://klasma.github.io/Logging_0127/kartor_geotiff/A 695-2023 georefererad karta.tif", "A 695-2023")</f>
        <v/>
      </c>
      <c r="AA2">
        <f>HYPERLINK("https://klasma.github.io/Logging_0127/klagomål/A 695-2023 FSC-klagomål.docx", "A 695-2023")</f>
        <v/>
      </c>
      <c r="AB2">
        <f>HYPERLINK("https://klasma.github.io/Logging_0127/klagomålsmail/A 695-2023 FSC-klagomål mail.docx", "A 695-2023")</f>
        <v/>
      </c>
      <c r="AC2">
        <f>HYPERLINK("https://klasma.github.io/Logging_0127/tillsyn/A 695-2023 tillsynsbegäran.docx", "A 695-2023")</f>
        <v/>
      </c>
      <c r="AD2">
        <f>HYPERLINK("https://klasma.github.io/Logging_0127/tillsynsmail/A 695-2023 tillsynsbegäran mail.docx", "A 695-2023")</f>
        <v/>
      </c>
      <c r="AE2">
        <f>HYPERLINK("https://klasma.github.io/Logging_0127/fåglar/A 695-2023 prioriterade fågelarter.docx", "A 695-2023")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46291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46291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46291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46291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46291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46291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46291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46291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46291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46291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46291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46291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46291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46291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46291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46291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46291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46291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46291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46291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46291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28983-2024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45481</v>
      </c>
      <c r="E24" s="1" t="n">
        <v>46291</v>
      </c>
      <c r="F24" t="inlineStr">
        <is>
          <t>STOCKHOLMS LÄN</t>
        </is>
      </c>
      <c r="G24" t="inlineStr">
        <is>
          <t>BOTKYRKA</t>
        </is>
      </c>
      <c r="I24" t="n">
        <v>0.8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Tibast</t>
        </is>
      </c>
      <c r="W24">
        <f>HYPERLINK("https://klasma.github.io/Logging_0127/artfynd/A 28983-2024 artfynd.xlsx", "A 28983-2024")</f>
        <v/>
      </c>
      <c r="X24">
        <f>HYPERLINK("https://klasma.github.io/Logging_0127/kartor/A 28983-2024 karta.png", "A 28983-2024")</f>
        <v/>
      </c>
      <c r="Y24">
        <f>HYPERLINK("https://klasma.github.io/Logging_0127/kartor_geotiff/A 28983-2024 georefererad karta.tif", "A 28983-2024")</f>
        <v/>
      </c>
      <c r="AA24">
        <f>HYPERLINK("https://klasma.github.io/Logging_0127/klagomål/A 28983-2024 FSC-klagomål.docx", "A 28983-2024")</f>
        <v/>
      </c>
      <c r="AB24">
        <f>HYPERLINK("https://klasma.github.io/Logging_0127/klagomålsmail/A 28983-2024 FSC-klagomål mail.docx", "A 28983-2024")</f>
        <v/>
      </c>
      <c r="AC24">
        <f>HYPERLINK("https://klasma.github.io/Logging_0127/tillsyn/A 28983-2024 tillsynsbegäran.docx", "A 28983-2024")</f>
        <v/>
      </c>
      <c r="AD24">
        <f>HYPERLINK("https://klasma.github.io/Logging_0127/tillsynsmail/A 28983-2024 tillsynsbegäran mail.docx", "A 28983-2024")</f>
        <v/>
      </c>
    </row>
    <row r="25" ht="15" customHeight="1">
      <c r="A25" t="inlineStr">
        <is>
          <t>A 61514-2022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44916</v>
      </c>
      <c r="E25" s="1" t="n">
        <v>46291</v>
      </c>
      <c r="F25" t="inlineStr">
        <is>
          <t>STOCKHOLMS LÄN</t>
        </is>
      </c>
      <c r="G25" t="inlineStr">
        <is>
          <t>BOTKYRKA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Vanlig groda</t>
        </is>
      </c>
      <c r="W25">
        <f>HYPERLINK("https://klasma.github.io/Logging_0127/artfynd/A 61514-2022 artfynd.xlsx", "A 61514-2022")</f>
        <v/>
      </c>
      <c r="X25">
        <f>HYPERLINK("https://klasma.github.io/Logging_0127/kartor/A 61514-2022 karta.png", "A 61514-2022")</f>
        <v/>
      </c>
      <c r="Y25">
        <f>HYPERLINK("https://klasma.github.io/Logging_0127/kartor_geotiff/A 61514-2022 georefererad karta.tif", "A 61514-2022")</f>
        <v/>
      </c>
      <c r="AA25">
        <f>HYPERLINK("https://klasma.github.io/Logging_0127/klagomål/A 61514-2022 FSC-klagomål.docx", "A 61514-2022")</f>
        <v/>
      </c>
      <c r="AB25">
        <f>HYPERLINK("https://klasma.github.io/Logging_0127/klagomålsmail/A 61514-2022 FSC-klagomål mail.docx", "A 61514-2022")</f>
        <v/>
      </c>
      <c r="AC25">
        <f>HYPERLINK("https://klasma.github.io/Logging_0127/tillsyn/A 61514-2022 tillsynsbegäran.docx", "A 61514-2022")</f>
        <v/>
      </c>
      <c r="AD25">
        <f>HYPERLINK("https://klasma.github.io/Logging_0127/tillsynsmail/A 61514-2022 tillsynsbegäran mail.docx", "A 61514-2022")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46291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46291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46291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14214-2025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46291</v>
      </c>
      <c r="F29" t="inlineStr">
        <is>
          <t>STOCKHOLMS LÄN</t>
        </is>
      </c>
      <c r="G29" t="inlineStr">
        <is>
          <t>BOTKYRKA</t>
        </is>
      </c>
      <c r="I29" t="n">
        <v>2.5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Stare</t>
        </is>
      </c>
      <c r="W29">
        <f>HYPERLINK("https://klasma.github.io/Logging_0127/artfynd/A 14214-2025 artfynd.xlsx", "A 14214-2025")</f>
        <v/>
      </c>
      <c r="X29">
        <f>HYPERLINK("https://klasma.github.io/Logging_0127/kartor/A 14214-2025 karta.png", "A 14214-2025")</f>
        <v/>
      </c>
      <c r="Y29">
        <f>HYPERLINK("https://klasma.github.io/Logging_0127/kartor_geotiff/A 14214-2025 georefererad karta.tif", "A 14214-2025")</f>
        <v/>
      </c>
      <c r="AA29">
        <f>HYPERLINK("https://klasma.github.io/Logging_0127/klagomål/A 14214-2025 FSC-klagomål.docx", "A 14214-2025")</f>
        <v/>
      </c>
      <c r="AB29">
        <f>HYPERLINK("https://klasma.github.io/Logging_0127/klagomålsmail/A 14214-2025 FSC-klagomål mail.docx", "A 14214-2025")</f>
        <v/>
      </c>
      <c r="AC29">
        <f>HYPERLINK("https://klasma.github.io/Logging_0127/tillsyn/A 14214-2025 tillsynsbegäran.docx", "A 14214-2025")</f>
        <v/>
      </c>
      <c r="AD29">
        <f>HYPERLINK("https://klasma.github.io/Logging_0127/tillsynsmail/A 14214-2025 tillsynsbegäran mail.docx", "A 14214-2025")</f>
        <v/>
      </c>
      <c r="AE29">
        <f>HYPERLINK("https://klasma.github.io/Logging_0127/fåglar/A 14214-2025 prioriterade fågelarter.docx", "A 14214-2025")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46291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46291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Blomkålssvamp</t>
        </is>
      </c>
      <c r="W31">
        <f>HYPERLINK("https://klasma.github.io/Logging_0127/artfynd/A 3726-2022 artfynd.xlsx", "A 3726-2022")</f>
        <v/>
      </c>
      <c r="X31">
        <f>HYPERLINK("https://klasma.github.io/Logging_0127/kartor/A 3726-2022 karta.png", "A 3726-2022")</f>
        <v/>
      </c>
      <c r="Y31">
        <f>HYPERLINK("https://klasma.github.io/Logging_0127/kartor_geotiff/A 3726-2022 georefererad karta.tif", "A 3726-2022")</f>
        <v/>
      </c>
      <c r="AA31">
        <f>HYPERLINK("https://klasma.github.io/Logging_0127/klagomål/A 3726-2022 FSC-klagomål.docx", "A 3726-2022")</f>
        <v/>
      </c>
      <c r="AB31">
        <f>HYPERLINK("https://klasma.github.io/Logging_0127/klagomålsmail/A 3726-2022 FSC-klagomål mail.docx", "A 3726-2022")</f>
        <v/>
      </c>
      <c r="AC31">
        <f>HYPERLINK("https://klasma.github.io/Logging_0127/tillsyn/A 3726-2022 tillsynsbegäran.docx", "A 3726-2022")</f>
        <v/>
      </c>
      <c r="AD31">
        <f>HYPERLINK("https://klasma.github.io/Logging_0127/tillsynsmail/A 3726-2022 tillsynsbegäran mail.docx", "A 3726-2022")</f>
        <v/>
      </c>
    </row>
    <row r="32" ht="15" customHeight="1">
      <c r="A32" t="inlineStr">
        <is>
          <t>A 15690-2023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45020</v>
      </c>
      <c r="E32" s="1" t="n">
        <v>46291</v>
      </c>
      <c r="F32" t="inlineStr">
        <is>
          <t>STOCKHOLMS LÄN</t>
        </is>
      </c>
      <c r="G32" t="inlineStr">
        <is>
          <t>BOTKYRKA</t>
        </is>
      </c>
      <c r="I32" t="n">
        <v>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HYPERLINK("https://klasma.github.io/Logging_0127/artfynd/A 15690-2023 artfynd.xlsx", "A 15690-2023")</f>
        <v/>
      </c>
      <c r="X32">
        <f>HYPERLINK("https://klasma.github.io/Logging_0127/kartor/A 15690-2023 karta.png", "A 15690-2023")</f>
        <v/>
      </c>
      <c r="Y32">
        <f>HYPERLINK("https://klasma.github.io/Logging_0127/kartor_geotiff/A 15690-2023 georefererad karta.tif", "A 15690-2023")</f>
        <v/>
      </c>
      <c r="AA32">
        <f>HYPERLINK("https://klasma.github.io/Logging_0127/klagomål/A 15690-2023 FSC-klagomål.docx", "A 15690-2023")</f>
        <v/>
      </c>
      <c r="AB32">
        <f>HYPERLINK("https://klasma.github.io/Logging_0127/klagomålsmail/A 15690-2023 FSC-klagomål mail.docx", "A 15690-2023")</f>
        <v/>
      </c>
      <c r="AC32">
        <f>HYPERLINK("https://klasma.github.io/Logging_0127/tillsyn/A 15690-2023 tillsynsbegäran.docx", "A 15690-2023")</f>
        <v/>
      </c>
      <c r="AD32">
        <f>HYPERLINK("https://klasma.github.io/Logging_0127/tillsynsmail/A 15690-2023 tillsynsbegäran mail.docx", "A 15690-2023")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46291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46291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46291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46291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46291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48656-2022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46291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45406</v>
      </c>
      <c r="E39" s="1" t="n">
        <v>46291</v>
      </c>
      <c r="F39" t="inlineStr">
        <is>
          <t>STOCKHOLMS LÄN</t>
        </is>
      </c>
      <c r="G39" t="inlineStr">
        <is>
          <t>BOTKYRKA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46405-2022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44846</v>
      </c>
      <c r="E40" s="1" t="n">
        <v>46291</v>
      </c>
      <c r="F40" t="inlineStr">
        <is>
          <t>STOCKHOLMS LÄN</t>
        </is>
      </c>
      <c r="G40" t="inlineStr">
        <is>
          <t>BOTKYRKA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46291</v>
      </c>
      <c r="F41" t="inlineStr">
        <is>
          <t>STOCKHOLMS LÄN</t>
        </is>
      </c>
      <c r="G41" t="inlineStr">
        <is>
          <t>BOTKYRKA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44550</v>
      </c>
      <c r="E42" s="1" t="n">
        <v>46291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12306-2026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46087</v>
      </c>
      <c r="E43" s="1" t="n">
        <v>46291</v>
      </c>
      <c r="F43" t="inlineStr">
        <is>
          <t>STOCKHOLMS LÄN</t>
        </is>
      </c>
      <c r="G43" t="inlineStr">
        <is>
          <t>BOTKYRKA</t>
        </is>
      </c>
      <c r="H43" t="inlineStr">
        <is>
          <t>Övriga Aktiebolag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46087</v>
      </c>
      <c r="E44" s="1" t="n">
        <v>46291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15692-2023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45020</v>
      </c>
      <c r="E45" s="1" t="n">
        <v>46291</v>
      </c>
      <c r="F45" t="inlineStr">
        <is>
          <t>STOCKHOLMS LÄN</t>
        </is>
      </c>
      <c r="G45" t="inlineStr">
        <is>
          <t>BOTKYRKA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45740</v>
      </c>
      <c r="E46" s="1" t="n">
        <v>46291</v>
      </c>
      <c r="F46" t="inlineStr">
        <is>
          <t>STOCKHOLMS LÄN</t>
        </is>
      </c>
      <c r="G46" t="inlineStr">
        <is>
          <t>BOTKYRKA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46291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45062</v>
      </c>
      <c r="E48" s="1" t="n">
        <v>46291</v>
      </c>
      <c r="F48" t="inlineStr">
        <is>
          <t>STOCKHOLMS LÄN</t>
        </is>
      </c>
      <c r="G48" t="inlineStr">
        <is>
          <t>BOTKYRKA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45678</v>
      </c>
      <c r="E49" s="1" t="n">
        <v>46291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22391-2026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46154</v>
      </c>
      <c r="E50" s="1" t="n">
        <v>46291</v>
      </c>
      <c r="F50" t="inlineStr">
        <is>
          <t>STOCKHOLMS LÄN</t>
        </is>
      </c>
      <c r="G50" t="inlineStr">
        <is>
          <t>BOTKYRKA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46291</v>
      </c>
      <c r="F51" t="inlineStr">
        <is>
          <t>STOCKHOLMS LÄN</t>
        </is>
      </c>
      <c r="G51" t="inlineStr">
        <is>
          <t>BOTKYRKA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23725-2026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46164</v>
      </c>
      <c r="E52" s="1" t="n">
        <v>46291</v>
      </c>
      <c r="F52" t="inlineStr">
        <is>
          <t>STOCKHOLMS LÄN</t>
        </is>
      </c>
      <c r="G52" t="inlineStr">
        <is>
          <t>BOTKYRKA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23718-2026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46164</v>
      </c>
      <c r="E53" s="1" t="n">
        <v>46291</v>
      </c>
      <c r="F53" t="inlineStr">
        <is>
          <t>STOCKHOLMS LÄN</t>
        </is>
      </c>
      <c r="G53" t="inlineStr">
        <is>
          <t>BOTKYRKA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46291</v>
      </c>
      <c r="F54" t="inlineStr">
        <is>
          <t>STOCKHOLMS LÄN</t>
        </is>
      </c>
      <c r="G54" t="inlineStr">
        <is>
          <t>BOTKYRKA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73151-2021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46291</v>
      </c>
      <c r="F55" t="inlineStr">
        <is>
          <t>STOCKHOLMS LÄN</t>
        </is>
      </c>
      <c r="G55" t="inlineStr">
        <is>
          <t>BOTKYRKA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73194-2021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46291</v>
      </c>
      <c r="F56" t="inlineStr">
        <is>
          <t>STOCKHOLMS LÄN</t>
        </is>
      </c>
      <c r="G56" t="inlineStr">
        <is>
          <t>BOTKYRKA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27717-2026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46190</v>
      </c>
      <c r="E57" s="1" t="n">
        <v>46291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35108-2026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46258</v>
      </c>
      <c r="E58" s="1" t="n">
        <v>46291</v>
      </c>
      <c r="F58" t="inlineStr">
        <is>
          <t>STOCKHOLMS LÄN</t>
        </is>
      </c>
      <c r="G58" t="inlineStr">
        <is>
          <t>BOTKYRKA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44700</v>
      </c>
      <c r="E59" s="1" t="n">
        <v>46291</v>
      </c>
      <c r="F59" t="inlineStr">
        <is>
          <t>STOCKHOLMS LÄN</t>
        </is>
      </c>
      <c r="G59" t="inlineStr">
        <is>
          <t>BOTKYRKA</t>
        </is>
      </c>
      <c r="H59" t="inlineStr">
        <is>
          <t>Övriga Aktiebolag</t>
        </is>
      </c>
      <c r="I59" t="n">
        <v>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6059-2022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44599</v>
      </c>
      <c r="E60" s="1" t="n">
        <v>46291</v>
      </c>
      <c r="F60" t="inlineStr">
        <is>
          <t>STOCKHOLMS LÄN</t>
        </is>
      </c>
      <c r="G60" t="inlineStr">
        <is>
          <t>BOTKYRKA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8528-2024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45355</v>
      </c>
      <c r="E61" s="1" t="n">
        <v>46291</v>
      </c>
      <c r="F61" t="inlineStr">
        <is>
          <t>STOCKHOLMS LÄN</t>
        </is>
      </c>
      <c r="G61" t="inlineStr">
        <is>
          <t>BOTKYRKA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3686-2022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46291</v>
      </c>
      <c r="F62" t="inlineStr">
        <is>
          <t>STOCKHOLMS LÄN</t>
        </is>
      </c>
      <c r="G62" t="inlineStr">
        <is>
          <t>BOTKYRKA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46291</v>
      </c>
      <c r="F63" t="inlineStr">
        <is>
          <t>STOCKHOLMS LÄN</t>
        </is>
      </c>
      <c r="G63" t="inlineStr">
        <is>
          <t>BOTKYRKA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25217-2024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45462</v>
      </c>
      <c r="E64" s="1" t="n">
        <v>46291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16483-2023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45029</v>
      </c>
      <c r="E65" s="1" t="n">
        <v>46291</v>
      </c>
      <c r="F65" t="inlineStr">
        <is>
          <t>STOCKHOLMS LÄN</t>
        </is>
      </c>
      <c r="G65" t="inlineStr">
        <is>
          <t>BOTKYRKA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46291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30925-2023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46291</v>
      </c>
      <c r="F67" t="inlineStr">
        <is>
          <t>STOCKHOLMS LÄN</t>
        </is>
      </c>
      <c r="G67" t="inlineStr">
        <is>
          <t>BOTKYRKA</t>
        </is>
      </c>
      <c r="H67" t="inlineStr">
        <is>
          <t>Övriga Aktiebolag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45869-2022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46291</v>
      </c>
      <c r="F68" t="inlineStr">
        <is>
          <t>STOCKHOLMS LÄN</t>
        </is>
      </c>
      <c r="G68" t="inlineStr">
        <is>
          <t>BOTKYRKA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45740</v>
      </c>
      <c r="E69" s="1" t="n">
        <v>46291</v>
      </c>
      <c r="F69" t="inlineStr">
        <is>
          <t>STOCKHOLMS LÄN</t>
        </is>
      </c>
      <c r="G69" t="inlineStr">
        <is>
          <t>BOTKYRKA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46291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46291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46291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2026-09-26T02:01:24Z</dcterms:created>
  <dcterms:modified xmlns:dcterms="http://purl.org/dc/terms/" xmlns:xsi="http://www.w3.org/2001/XMLSchema-instance" xsi:type="dcterms:W3CDTF">2026-09-26T02:01:24Z</dcterms:modified>
</cp:coreProperties>
</file>