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45783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45783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45783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40444-2023</t>
        </is>
      </c>
      <c r="B13" s="1" t="n">
        <v>45170</v>
      </c>
      <c r="C13" s="1" t="n">
        <v>45783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Kopparödla</t>
        </is>
      </c>
      <c r="S13">
        <f>HYPERLINK("https://klasma.github.io/Logging_0127/artfynd/A 40444-2023 artfynd.xlsx", "A 40444-2023")</f>
        <v/>
      </c>
      <c r="T13">
        <f>HYPERLINK("https://klasma.github.io/Logging_0127/kartor/A 40444-2023 karta.png", "A 40444-2023")</f>
        <v/>
      </c>
      <c r="V13">
        <f>HYPERLINK("https://klasma.github.io/Logging_0127/klagomål/A 40444-2023 FSC-klagomål.docx", "A 40444-2023")</f>
        <v/>
      </c>
      <c r="W13">
        <f>HYPERLINK("https://klasma.github.io/Logging_0127/klagomålsmail/A 40444-2023 FSC-klagomål mail.docx", "A 40444-2023")</f>
        <v/>
      </c>
      <c r="X13">
        <f>HYPERLINK("https://klasma.github.io/Logging_0127/tillsyn/A 40444-2023 tillsynsbegäran.docx", "A 40444-2023")</f>
        <v/>
      </c>
      <c r="Y13">
        <f>HYPERLINK("https://klasma.github.io/Logging_0127/tillsynsmail/A 40444-2023 tillsynsbegäran mail.docx", "A 40444-2023")</f>
        <v/>
      </c>
      <c r="Z13">
        <f>HYPERLINK("https://klasma.github.io/Logging_0127/fåglar/A 40444-2023 prioriterade fågelarter.docx", "A 40444-2023")</f>
        <v/>
      </c>
    </row>
    <row r="14" ht="15" customHeight="1">
      <c r="A14" t="inlineStr">
        <is>
          <t>A 46953-2023</t>
        </is>
      </c>
      <c r="B14" s="1" t="n">
        <v>45195</v>
      </c>
      <c r="C14" s="1" t="n">
        <v>45783</v>
      </c>
      <c r="D14" t="inlineStr">
        <is>
          <t>STOCKHOLMS LÄN</t>
        </is>
      </c>
      <c r="E14" t="inlineStr">
        <is>
          <t>BOTKYRKA</t>
        </is>
      </c>
      <c r="G14" t="n">
        <v>4.6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Sotriska</t>
        </is>
      </c>
      <c r="S14">
        <f>HYPERLINK("https://klasma.github.io/Logging_0127/artfynd/A 46953-2023 artfynd.xlsx", "A 46953-2023")</f>
        <v/>
      </c>
      <c r="T14">
        <f>HYPERLINK("https://klasma.github.io/Logging_0127/kartor/A 46953-2023 karta.png", "A 46953-2023")</f>
        <v/>
      </c>
      <c r="V14">
        <f>HYPERLINK("https://klasma.github.io/Logging_0127/klagomål/A 46953-2023 FSC-klagomål.docx", "A 46953-2023")</f>
        <v/>
      </c>
      <c r="W14">
        <f>HYPERLINK("https://klasma.github.io/Logging_0127/klagomålsmail/A 46953-2023 FSC-klagomål mail.docx", "A 46953-2023")</f>
        <v/>
      </c>
      <c r="X14">
        <f>HYPERLINK("https://klasma.github.io/Logging_0127/tillsyn/A 46953-2023 tillsynsbegäran.docx", "A 46953-2023")</f>
        <v/>
      </c>
      <c r="Y14">
        <f>HYPERLINK("https://klasma.github.io/Logging_0127/tillsynsmail/A 46953-2023 tillsynsbegäran mail.docx", "A 46953-2023")</f>
        <v/>
      </c>
    </row>
    <row r="15" ht="15" customHeight="1">
      <c r="A15" t="inlineStr">
        <is>
          <t>A 26-2025</t>
        </is>
      </c>
      <c r="B15" s="1" t="n">
        <v>45659</v>
      </c>
      <c r="C15" s="1" t="n">
        <v>45783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Granticka
Spillkråka</t>
        </is>
      </c>
      <c r="S15">
        <f>HYPERLINK("https://klasma.github.io/Logging_0127/artfynd/A 26-2025 artfynd.xlsx", "A 26-2025")</f>
        <v/>
      </c>
      <c r="T15">
        <f>HYPERLINK("https://klasma.github.io/Logging_0127/kartor/A 26-2025 karta.png", "A 26-2025")</f>
        <v/>
      </c>
      <c r="V15">
        <f>HYPERLINK("https://klasma.github.io/Logging_0127/klagomål/A 26-2025 FSC-klagomål.docx", "A 26-2025")</f>
        <v/>
      </c>
      <c r="W15">
        <f>HYPERLINK("https://klasma.github.io/Logging_0127/klagomålsmail/A 26-2025 FSC-klagomål mail.docx", "A 26-2025")</f>
        <v/>
      </c>
      <c r="X15">
        <f>HYPERLINK("https://klasma.github.io/Logging_0127/tillsyn/A 26-2025 tillsynsbegäran.docx", "A 26-2025")</f>
        <v/>
      </c>
      <c r="Y15">
        <f>HYPERLINK("https://klasma.github.io/Logging_0127/tillsynsmail/A 26-2025 tillsynsbegäran mail.docx", "A 26-2025")</f>
        <v/>
      </c>
      <c r="Z15">
        <f>HYPERLINK("https://klasma.github.io/Logging_0127/fåglar/A 26-2025 prioriterade fågelarter.docx", "A 26-2025")</f>
        <v/>
      </c>
    </row>
    <row r="16" ht="15" customHeight="1">
      <c r="A16" t="inlineStr">
        <is>
          <t>A 2554-2020</t>
        </is>
      </c>
      <c r="B16" s="1" t="n">
        <v>43847</v>
      </c>
      <c r="C16" s="1" t="n">
        <v>45783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Järnsparv</t>
        </is>
      </c>
      <c r="S16">
        <f>HYPERLINK("https://klasma.github.io/Logging_0127/artfynd/A 2554-2020 artfynd.xlsx", "A 2554-2020")</f>
        <v/>
      </c>
      <c r="T16">
        <f>HYPERLINK("https://klasma.github.io/Logging_0127/kartor/A 2554-2020 karta.png", "A 2554-2020")</f>
        <v/>
      </c>
      <c r="V16">
        <f>HYPERLINK("https://klasma.github.io/Logging_0127/klagomål/A 2554-2020 FSC-klagomål.docx", "A 2554-2020")</f>
        <v/>
      </c>
      <c r="W16">
        <f>HYPERLINK("https://klasma.github.io/Logging_0127/klagomålsmail/A 2554-2020 FSC-klagomål mail.docx", "A 2554-2020")</f>
        <v/>
      </c>
      <c r="X16">
        <f>HYPERLINK("https://klasma.github.io/Logging_0127/tillsyn/A 2554-2020 tillsynsbegäran.docx", "A 2554-2020")</f>
        <v/>
      </c>
      <c r="Y16">
        <f>HYPERLINK("https://klasma.github.io/Logging_0127/tillsynsmail/A 2554-2020 tillsynsbegäran mail.docx", "A 2554-2020")</f>
        <v/>
      </c>
      <c r="Z16">
        <f>HYPERLINK("https://klasma.github.io/Logging_0127/fåglar/A 2554-2020 prioriterade fågelarter.docx", "A 2554-2020")</f>
        <v/>
      </c>
    </row>
    <row r="17" ht="15" customHeight="1">
      <c r="A17" t="inlineStr">
        <is>
          <t>A 5953-2020</t>
        </is>
      </c>
      <c r="B17" s="1" t="n">
        <v>43864</v>
      </c>
      <c r="C17" s="1" t="n">
        <v>45783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5953-2020 artfynd.xlsx", "A 5953-2020")</f>
        <v/>
      </c>
      <c r="T17">
        <f>HYPERLINK("https://klasma.github.io/Logging_0127/kartor/A 5953-2020 karta.png", "A 5953-2020")</f>
        <v/>
      </c>
      <c r="V17">
        <f>HYPERLINK("https://klasma.github.io/Logging_0127/klagomål/A 5953-2020 FSC-klagomål.docx", "A 5953-2020")</f>
        <v/>
      </c>
      <c r="W17">
        <f>HYPERLINK("https://klasma.github.io/Logging_0127/klagomålsmail/A 5953-2020 FSC-klagomål mail.docx", "A 5953-2020")</f>
        <v/>
      </c>
      <c r="X17">
        <f>HYPERLINK("https://klasma.github.io/Logging_0127/tillsyn/A 5953-2020 tillsynsbegäran.docx", "A 5953-2020")</f>
        <v/>
      </c>
      <c r="Y17">
        <f>HYPERLINK("https://klasma.github.io/Logging_0127/tillsynsmail/A 5953-2020 tillsynsbegäran mail.docx", "A 5953-2020")</f>
        <v/>
      </c>
      <c r="Z17">
        <f>HYPERLINK("https://klasma.github.io/Logging_0127/fåglar/A 5953-2020 prioriterade fågelarter.docx", "A 5953-2020")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45783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45783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10469-2022</t>
        </is>
      </c>
      <c r="B20" s="1" t="n">
        <v>44623</v>
      </c>
      <c r="C20" s="1" t="n">
        <v>45783</v>
      </c>
      <c r="D20" t="inlineStr">
        <is>
          <t>STOCKHOLMS LÄN</t>
        </is>
      </c>
      <c r="E20" t="inlineStr">
        <is>
          <t>BOTKYRKA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10469-2022 artfynd.xlsx", "A 10469-2022")</f>
        <v/>
      </c>
      <c r="T20">
        <f>HYPERLINK("https://klasma.github.io/Logging_0127/kartor/A 10469-2022 karta.png", "A 10469-2022")</f>
        <v/>
      </c>
      <c r="V20">
        <f>HYPERLINK("https://klasma.github.io/Logging_0127/klagomål/A 10469-2022 FSC-klagomål.docx", "A 10469-2022")</f>
        <v/>
      </c>
      <c r="W20">
        <f>HYPERLINK("https://klasma.github.io/Logging_0127/klagomålsmail/A 10469-2022 FSC-klagomål mail.docx", "A 10469-2022")</f>
        <v/>
      </c>
      <c r="X20">
        <f>HYPERLINK("https://klasma.github.io/Logging_0127/tillsyn/A 10469-2022 tillsynsbegäran.docx", "A 10469-2022")</f>
        <v/>
      </c>
      <c r="Y20">
        <f>HYPERLINK("https://klasma.github.io/Logging_0127/tillsynsmail/A 10469-2022 tillsynsbegäran mail.docx", "A 10469-2022")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45783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45783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5574-2023</t>
        </is>
      </c>
      <c r="B23" s="1" t="n">
        <v>44960</v>
      </c>
      <c r="C23" s="1" t="n">
        <v>45783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5574-2023 artfynd.xlsx", "A 5574-2023")</f>
        <v/>
      </c>
      <c r="T23">
        <f>HYPERLINK("https://klasma.github.io/Logging_0127/kartor/A 5574-2023 karta.png", "A 5574-2023")</f>
        <v/>
      </c>
      <c r="V23">
        <f>HYPERLINK("https://klasma.github.io/Logging_0127/klagomål/A 5574-2023 FSC-klagomål.docx", "A 5574-2023")</f>
        <v/>
      </c>
      <c r="W23">
        <f>HYPERLINK("https://klasma.github.io/Logging_0127/klagomålsmail/A 5574-2023 FSC-klagomål mail.docx", "A 5574-2023")</f>
        <v/>
      </c>
      <c r="X23">
        <f>HYPERLINK("https://klasma.github.io/Logging_0127/tillsyn/A 5574-2023 tillsynsbegäran.docx", "A 5574-2023")</f>
        <v/>
      </c>
      <c r="Y23">
        <f>HYPERLINK("https://klasma.github.io/Logging_0127/tillsynsmail/A 5574-2023 tillsynsbegäran mail.docx", "A 5574-2023")</f>
        <v/>
      </c>
    </row>
    <row r="24" ht="15" customHeight="1">
      <c r="A24" t="inlineStr">
        <is>
          <t>A 23829-2023</t>
        </is>
      </c>
      <c r="B24" s="1" t="n">
        <v>45078</v>
      </c>
      <c r="C24" s="1" t="n">
        <v>45783</v>
      </c>
      <c r="D24" t="inlineStr">
        <is>
          <t>STOCKHOLMS LÄN</t>
        </is>
      </c>
      <c r="E24" t="inlineStr">
        <is>
          <t>BOTKYRKA</t>
        </is>
      </c>
      <c r="F24" t="inlineStr">
        <is>
          <t>Kommuner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HYPERLINK("https://klasma.github.io/Logging_0127/artfynd/A 23829-2023 artfynd.xlsx", "A 23829-2023")</f>
        <v/>
      </c>
      <c r="T24">
        <f>HYPERLINK("https://klasma.github.io/Logging_0127/kartor/A 23829-2023 karta.png", "A 23829-2023")</f>
        <v/>
      </c>
      <c r="V24">
        <f>HYPERLINK("https://klasma.github.io/Logging_0127/klagomål/A 23829-2023 FSC-klagomål.docx", "A 23829-2023")</f>
        <v/>
      </c>
      <c r="W24">
        <f>HYPERLINK("https://klasma.github.io/Logging_0127/klagomålsmail/A 23829-2023 FSC-klagomål mail.docx", "A 23829-2023")</f>
        <v/>
      </c>
      <c r="X24">
        <f>HYPERLINK("https://klasma.github.io/Logging_0127/tillsyn/A 23829-2023 tillsynsbegäran.docx", "A 23829-2023")</f>
        <v/>
      </c>
      <c r="Y24">
        <f>HYPERLINK("https://klasma.github.io/Logging_0127/tillsynsmail/A 23829-2023 tillsynsbegäran mail.docx", "A 23829-2023")</f>
        <v/>
      </c>
    </row>
    <row r="25" ht="15" customHeight="1">
      <c r="A25" t="inlineStr">
        <is>
          <t>A 40642-2019</t>
        </is>
      </c>
      <c r="B25" s="1" t="n">
        <v>43696</v>
      </c>
      <c r="C25" s="1" t="n">
        <v>45783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45783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45783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45783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10790-2020</t>
        </is>
      </c>
      <c r="B29" s="1" t="n">
        <v>43888</v>
      </c>
      <c r="C29" s="1" t="n">
        <v>45783</v>
      </c>
      <c r="D29" t="inlineStr">
        <is>
          <t>STOCKHOLMS LÄN</t>
        </is>
      </c>
      <c r="E29" t="inlineStr">
        <is>
          <t>BOTKYRKA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10807-2020</t>
        </is>
      </c>
      <c r="B30" s="1" t="n">
        <v>43888</v>
      </c>
      <c r="C30" s="1" t="n">
        <v>45783</v>
      </c>
      <c r="D30" t="inlineStr">
        <is>
          <t>STOCKHOLMS LÄN</t>
        </is>
      </c>
      <c r="E30" t="inlineStr">
        <is>
          <t>BOTKYRKA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12321-2020</t>
        </is>
      </c>
      <c r="B31" s="1" t="n">
        <v>43895</v>
      </c>
      <c r="C31" s="1" t="n">
        <v>45783</v>
      </c>
      <c r="D31" t="inlineStr">
        <is>
          <t>STOCKHOLMS LÄN</t>
        </is>
      </c>
      <c r="E31" t="inlineStr">
        <is>
          <t>BOTKYRKA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12320-2020</t>
        </is>
      </c>
      <c r="B32" s="1" t="n">
        <v>43895</v>
      </c>
      <c r="C32" s="1" t="n">
        <v>45783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12988-2020</t>
        </is>
      </c>
      <c r="B33" s="1" t="n">
        <v>43900</v>
      </c>
      <c r="C33" s="1" t="n">
        <v>45783</v>
      </c>
      <c r="D33" t="inlineStr">
        <is>
          <t>STOCKHOLMS LÄN</t>
        </is>
      </c>
      <c r="E33" t="inlineStr">
        <is>
          <t>BOTKYRKA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16048-2020</t>
        </is>
      </c>
      <c r="B34" s="1" t="n">
        <v>43916</v>
      </c>
      <c r="C34" s="1" t="n">
        <v>45783</v>
      </c>
      <c r="D34" t="inlineStr">
        <is>
          <t>STOCKHOLMS LÄN</t>
        </is>
      </c>
      <c r="E34" t="inlineStr">
        <is>
          <t>BOTKYRKA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21645-2020</t>
        </is>
      </c>
      <c r="B35" s="1" t="n">
        <v>43956</v>
      </c>
      <c r="C35" s="1" t="n">
        <v>45783</v>
      </c>
      <c r="D35" t="inlineStr">
        <is>
          <t>STOCKHOLMS LÄN</t>
        </is>
      </c>
      <c r="E35" t="inlineStr">
        <is>
          <t>BOTKYRKA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23426-2020</t>
        </is>
      </c>
      <c r="B36" s="1" t="n">
        <v>43969</v>
      </c>
      <c r="C36" s="1" t="n">
        <v>45783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33881-2020</t>
        </is>
      </c>
      <c r="B37" s="1" t="n">
        <v>44025</v>
      </c>
      <c r="C37" s="1" t="n">
        <v>45783</v>
      </c>
      <c r="D37" t="inlineStr">
        <is>
          <t>STOCKHOLMS LÄN</t>
        </is>
      </c>
      <c r="E37" t="inlineStr">
        <is>
          <t>BOTKYRKA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39531-2020</t>
        </is>
      </c>
      <c r="B38" s="1" t="n">
        <v>44064</v>
      </c>
      <c r="C38" s="1" t="n">
        <v>45783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54002-2020</t>
        </is>
      </c>
      <c r="B39" s="1" t="n">
        <v>44125</v>
      </c>
      <c r="C39" s="1" t="n">
        <v>45783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53979-2020</t>
        </is>
      </c>
      <c r="B40" s="1" t="n">
        <v>44125</v>
      </c>
      <c r="C40" s="1" t="n">
        <v>45783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45783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57809-2020</t>
        </is>
      </c>
      <c r="B42" s="1" t="n">
        <v>44141</v>
      </c>
      <c r="C42" s="1" t="n">
        <v>45783</v>
      </c>
      <c r="D42" t="inlineStr">
        <is>
          <t>STOCKHOLMS LÄN</t>
        </is>
      </c>
      <c r="E42" t="inlineStr">
        <is>
          <t>BOTKYRKA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58517-2020</t>
        </is>
      </c>
      <c r="B43" s="1" t="n">
        <v>44145</v>
      </c>
      <c r="C43" s="1" t="n">
        <v>45783</v>
      </c>
      <c r="D43" t="inlineStr">
        <is>
          <t>STOCKHOLMS LÄN</t>
        </is>
      </c>
      <c r="E43" t="inlineStr">
        <is>
          <t>BOTKYRKA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58531-2020</t>
        </is>
      </c>
      <c r="B44" s="1" t="n">
        <v>44145</v>
      </c>
      <c r="C44" s="1" t="n">
        <v>45783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177-2021</t>
        </is>
      </c>
      <c r="B45" s="1" t="n">
        <v>44200</v>
      </c>
      <c r="C45" s="1" t="n">
        <v>45783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4281-2021</t>
        </is>
      </c>
      <c r="B46" s="1" t="n">
        <v>44223</v>
      </c>
      <c r="C46" s="1" t="n">
        <v>45783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10808-2021</t>
        </is>
      </c>
      <c r="B47" s="1" t="n">
        <v>44259</v>
      </c>
      <c r="C47" s="1" t="n">
        <v>45783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10817-2021</t>
        </is>
      </c>
      <c r="B48" s="1" t="n">
        <v>44259</v>
      </c>
      <c r="C48" s="1" t="n">
        <v>45783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45783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20210-2021</t>
        </is>
      </c>
      <c r="B50" s="1" t="n">
        <v>44314</v>
      </c>
      <c r="C50" s="1" t="n">
        <v>45783</v>
      </c>
      <c r="D50" t="inlineStr">
        <is>
          <t>STOCKHOLMS LÄN</t>
        </is>
      </c>
      <c r="E50" t="inlineStr">
        <is>
          <t>BOTKYRKA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27791-2021</t>
        </is>
      </c>
      <c r="B51" s="1" t="n">
        <v>44354</v>
      </c>
      <c r="C51" s="1" t="n">
        <v>45783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33016-2021</t>
        </is>
      </c>
      <c r="B52" s="1" t="n">
        <v>44376</v>
      </c>
      <c r="C52" s="1" t="n">
        <v>45783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33015-2021</t>
        </is>
      </c>
      <c r="B53" s="1" t="n">
        <v>44376</v>
      </c>
      <c r="C53" s="1" t="n">
        <v>45783</v>
      </c>
      <c r="D53" t="inlineStr">
        <is>
          <t>STOCKHOLMS LÄN</t>
        </is>
      </c>
      <c r="E53" t="inlineStr">
        <is>
          <t>BOTKYRKA</t>
        </is>
      </c>
      <c r="G53" t="n">
        <v>48.7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35492-2021</t>
        </is>
      </c>
      <c r="B54" s="1" t="n">
        <v>44385</v>
      </c>
      <c r="C54" s="1" t="n">
        <v>45783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45783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37095-2021</t>
        </is>
      </c>
      <c r="B56" s="1" t="n">
        <v>44395</v>
      </c>
      <c r="C56" s="1" t="n">
        <v>45783</v>
      </c>
      <c r="D56" t="inlineStr">
        <is>
          <t>STOCKHOLMS LÄN</t>
        </is>
      </c>
      <c r="E56" t="inlineStr">
        <is>
          <t>BOTKYRKA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43717-2021</t>
        </is>
      </c>
      <c r="B57" s="1" t="n">
        <v>44433</v>
      </c>
      <c r="C57" s="1" t="n">
        <v>45783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52035-2021</t>
        </is>
      </c>
      <c r="B58" s="1" t="n">
        <v>44463</v>
      </c>
      <c r="C58" s="1" t="n">
        <v>45783</v>
      </c>
      <c r="D58" t="inlineStr">
        <is>
          <t>STOCKHOLMS LÄN</t>
        </is>
      </c>
      <c r="E58" t="inlineStr">
        <is>
          <t>BOTKYRKA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56816-2021</t>
        </is>
      </c>
      <c r="B59" s="1" t="n">
        <v>44481</v>
      </c>
      <c r="C59" s="1" t="n">
        <v>45783</v>
      </c>
      <c r="D59" t="inlineStr">
        <is>
          <t>STOCKHOLMS LÄN</t>
        </is>
      </c>
      <c r="E59" t="inlineStr">
        <is>
          <t>BOTKYRKA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45783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45783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45783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45783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45783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45783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45783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45783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45783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45783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45783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45783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45783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45783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45783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45783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45783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45783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45783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45783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45783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45783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45783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45783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45783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45783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45783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45783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45783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45783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45783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45783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45783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45783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45783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45783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45783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45783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45783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45783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45783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45783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45783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45783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45783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45783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45783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45783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45783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45783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45783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45783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45783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45783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45783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45783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45783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45783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45783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45783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45783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45783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45783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45783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45783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45783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45783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45783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45783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45783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45783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2025-05-06T17:21:48Z</dcterms:created>
  <dcterms:modified xmlns:dcterms="http://purl.org/dc/terms/" xmlns:xsi="http://www.w3.org/2001/XMLSchema-instance" xsi:type="dcterms:W3CDTF">2025-05-06T17:21:48Z</dcterms:modified>
</cp:coreProperties>
</file>