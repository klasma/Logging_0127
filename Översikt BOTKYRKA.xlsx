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45833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45833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45833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45833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45833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45833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45833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45833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45833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2554-2020</t>
        </is>
      </c>
      <c r="B18" s="1" t="n">
        <v>43847</v>
      </c>
      <c r="C18" s="1" t="n">
        <v>45833</v>
      </c>
      <c r="D18" t="inlineStr">
        <is>
          <t>STOCKHOLMS LÄN</t>
        </is>
      </c>
      <c r="E18" t="inlineStr">
        <is>
          <t>BOTKYRKA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Järnsparv</t>
        </is>
      </c>
      <c r="S18">
        <f>HYPERLINK("https://klasma.github.io/Logging_0127/artfynd/A 2554-2020 artfynd.xlsx", "A 2554-2020")</f>
        <v/>
      </c>
      <c r="T18">
        <f>HYPERLINK("https://klasma.github.io/Logging_0127/kartor/A 2554-2020 karta.png", "A 2554-2020")</f>
        <v/>
      </c>
      <c r="V18">
        <f>HYPERLINK("https://klasma.github.io/Logging_0127/klagomål/A 2554-2020 FSC-klagomål.docx", "A 2554-2020")</f>
        <v/>
      </c>
      <c r="W18">
        <f>HYPERLINK("https://klasma.github.io/Logging_0127/klagomålsmail/A 2554-2020 FSC-klagomål mail.docx", "A 2554-2020")</f>
        <v/>
      </c>
      <c r="X18">
        <f>HYPERLINK("https://klasma.github.io/Logging_0127/tillsyn/A 2554-2020 tillsynsbegäran.docx", "A 2554-2020")</f>
        <v/>
      </c>
      <c r="Y18">
        <f>HYPERLINK("https://klasma.github.io/Logging_0127/tillsynsmail/A 2554-2020 tillsynsbegäran mail.docx", "A 2554-2020")</f>
        <v/>
      </c>
      <c r="Z18">
        <f>HYPERLINK("https://klasma.github.io/Logging_0127/fåglar/A 2554-2020 prioriterade fågelarter.docx", "A 2554-2020")</f>
        <v/>
      </c>
    </row>
    <row r="19" ht="15" customHeight="1">
      <c r="A19" t="inlineStr">
        <is>
          <t>A 16236-2020</t>
        </is>
      </c>
      <c r="B19" s="1" t="n">
        <v>43917</v>
      </c>
      <c r="C19" s="1" t="n">
        <v>45833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HYPERLINK("https://klasma.github.io/Logging_0127/artfynd/A 16236-2020 artfynd.xlsx", "A 16236-2020")</f>
        <v/>
      </c>
      <c r="T19">
        <f>HYPERLINK("https://klasma.github.io/Logging_0127/kartor/A 16236-2020 karta.png", "A 16236-2020")</f>
        <v/>
      </c>
      <c r="V19">
        <f>HYPERLINK("https://klasma.github.io/Logging_0127/klagomål/A 16236-2020 FSC-klagomål.docx", "A 16236-2020")</f>
        <v/>
      </c>
      <c r="W19">
        <f>HYPERLINK("https://klasma.github.io/Logging_0127/klagomålsmail/A 16236-2020 FSC-klagomål mail.docx", "A 16236-2020")</f>
        <v/>
      </c>
      <c r="X19">
        <f>HYPERLINK("https://klasma.github.io/Logging_0127/tillsyn/A 16236-2020 tillsynsbegäran.docx", "A 16236-2020")</f>
        <v/>
      </c>
      <c r="Y19">
        <f>HYPERLINK("https://klasma.github.io/Logging_0127/tillsynsmail/A 16236-2020 tillsynsbegäran mail.docx", "A 16236-2020")</f>
        <v/>
      </c>
    </row>
    <row r="20" ht="15" customHeight="1">
      <c r="A20" t="inlineStr">
        <is>
          <t>A 34971-2020</t>
        </is>
      </c>
      <c r="B20" s="1" t="n">
        <v>44039</v>
      </c>
      <c r="C20" s="1" t="n">
        <v>45833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34971-2020 artfynd.xlsx", "A 34971-2020")</f>
        <v/>
      </c>
      <c r="T20">
        <f>HYPERLINK("https://klasma.github.io/Logging_0127/kartor/A 34971-2020 karta.png", "A 34971-2020")</f>
        <v/>
      </c>
      <c r="V20">
        <f>HYPERLINK("https://klasma.github.io/Logging_0127/klagomål/A 34971-2020 FSC-klagomål.docx", "A 34971-2020")</f>
        <v/>
      </c>
      <c r="W20">
        <f>HYPERLINK("https://klasma.github.io/Logging_0127/klagomålsmail/A 34971-2020 FSC-klagomål mail.docx", "A 34971-2020")</f>
        <v/>
      </c>
      <c r="X20">
        <f>HYPERLINK("https://klasma.github.io/Logging_0127/tillsyn/A 34971-2020 tillsynsbegäran.docx", "A 34971-2020")</f>
        <v/>
      </c>
      <c r="Y20">
        <f>HYPERLINK("https://klasma.github.io/Logging_0127/tillsynsmail/A 34971-2020 tillsynsbegäran mail.docx", "A 34971-2020")</f>
        <v/>
      </c>
    </row>
    <row r="21" ht="15" customHeight="1">
      <c r="A21" t="inlineStr">
        <is>
          <t>A 56816-2021</t>
        </is>
      </c>
      <c r="B21" s="1" t="n">
        <v>44481</v>
      </c>
      <c r="C21" s="1" t="n">
        <v>45833</v>
      </c>
      <c r="D21" t="inlineStr">
        <is>
          <t>STOCKHOLMS LÄN</t>
        </is>
      </c>
      <c r="E21" t="inlineStr">
        <is>
          <t>BOTKYRKA</t>
        </is>
      </c>
      <c r="G21" t="n">
        <v>10.9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HYPERLINK("https://klasma.github.io/Logging_0127/artfynd/A 56816-2021 artfynd.xlsx", "A 56816-2021")</f>
        <v/>
      </c>
      <c r="T21">
        <f>HYPERLINK("https://klasma.github.io/Logging_0127/kartor/A 56816-2021 karta.png", "A 56816-2021")</f>
        <v/>
      </c>
      <c r="V21">
        <f>HYPERLINK("https://klasma.github.io/Logging_0127/klagomål/A 56816-2021 FSC-klagomål.docx", "A 56816-2021")</f>
        <v/>
      </c>
      <c r="W21">
        <f>HYPERLINK("https://klasma.github.io/Logging_0127/klagomålsmail/A 56816-2021 FSC-klagomål mail.docx", "A 56816-2021")</f>
        <v/>
      </c>
      <c r="X21">
        <f>HYPERLINK("https://klasma.github.io/Logging_0127/tillsyn/A 56816-2021 tillsynsbegäran.docx", "A 56816-2021")</f>
        <v/>
      </c>
      <c r="Y21">
        <f>HYPERLINK("https://klasma.github.io/Logging_0127/tillsynsmail/A 56816-2021 tillsynsbegäran mail.docx", "A 56816-2021")</f>
        <v/>
      </c>
      <c r="Z21">
        <f>HYPERLINK("https://klasma.github.io/Logging_0127/fåglar/A 56816-2021 prioriterade fågelarter.docx", "A 56816-2021")</f>
        <v/>
      </c>
    </row>
    <row r="22" ht="15" customHeight="1">
      <c r="A22" t="inlineStr">
        <is>
          <t>A 10469-2022</t>
        </is>
      </c>
      <c r="B22" s="1" t="n">
        <v>44623</v>
      </c>
      <c r="C22" s="1" t="n">
        <v>45833</v>
      </c>
      <c r="D22" t="inlineStr">
        <is>
          <t>STOCKHOLMS LÄN</t>
        </is>
      </c>
      <c r="E22" t="inlineStr">
        <is>
          <t>BOTKYRKA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10469-2022 artfynd.xlsx", "A 10469-2022")</f>
        <v/>
      </c>
      <c r="T22">
        <f>HYPERLINK("https://klasma.github.io/Logging_0127/kartor/A 10469-2022 karta.png", "A 10469-2022")</f>
        <v/>
      </c>
      <c r="V22">
        <f>HYPERLINK("https://klasma.github.io/Logging_0127/klagomål/A 10469-2022 FSC-klagomål.docx", "A 10469-2022")</f>
        <v/>
      </c>
      <c r="W22">
        <f>HYPERLINK("https://klasma.github.io/Logging_0127/klagomålsmail/A 10469-2022 FSC-klagomål mail.docx", "A 10469-2022")</f>
        <v/>
      </c>
      <c r="X22">
        <f>HYPERLINK("https://klasma.github.io/Logging_0127/tillsyn/A 10469-2022 tillsynsbegäran.docx", "A 10469-2022")</f>
        <v/>
      </c>
      <c r="Y22">
        <f>HYPERLINK("https://klasma.github.io/Logging_0127/tillsynsmail/A 10469-2022 tillsynsbegäran mail.docx", "A 10469-2022")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45833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45833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5574-2023</t>
        </is>
      </c>
      <c r="B25" s="1" t="n">
        <v>44960</v>
      </c>
      <c r="C25" s="1" t="n">
        <v>45833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5574-2023 artfynd.xlsx", "A 5574-2023")</f>
        <v/>
      </c>
      <c r="T25">
        <f>HYPERLINK("https://klasma.github.io/Logging_0127/kartor/A 5574-2023 karta.png", "A 5574-2023")</f>
        <v/>
      </c>
      <c r="V25">
        <f>HYPERLINK("https://klasma.github.io/Logging_0127/klagomål/A 5574-2023 FSC-klagomål.docx", "A 5574-2023")</f>
        <v/>
      </c>
      <c r="W25">
        <f>HYPERLINK("https://klasma.github.io/Logging_0127/klagomålsmail/A 5574-2023 FSC-klagomål mail.docx", "A 5574-2023")</f>
        <v/>
      </c>
      <c r="X25">
        <f>HYPERLINK("https://klasma.github.io/Logging_0127/tillsyn/A 5574-2023 tillsynsbegäran.docx", "A 5574-2023")</f>
        <v/>
      </c>
      <c r="Y25">
        <f>HYPERLINK("https://klasma.github.io/Logging_0127/tillsynsmail/A 5574-2023 tillsynsbegäran mail.docx", "A 5574-2023")</f>
        <v/>
      </c>
    </row>
    <row r="26" ht="15" customHeight="1">
      <c r="A26" t="inlineStr">
        <is>
          <t>A 23829-2023</t>
        </is>
      </c>
      <c r="B26" s="1" t="n">
        <v>45078</v>
      </c>
      <c r="C26" s="1" t="n">
        <v>45833</v>
      </c>
      <c r="D26" t="inlineStr">
        <is>
          <t>STOCKHOLMS LÄN</t>
        </is>
      </c>
      <c r="E26" t="inlineStr">
        <is>
          <t>BOTKYRKA</t>
        </is>
      </c>
      <c r="F26" t="inlineStr">
        <is>
          <t>Kommuner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HYPERLINK("https://klasma.github.io/Logging_0127/artfynd/A 23829-2023 artfynd.xlsx", "A 23829-2023")</f>
        <v/>
      </c>
      <c r="T26">
        <f>HYPERLINK("https://klasma.github.io/Logging_0127/kartor/A 23829-2023 karta.png", "A 23829-2023")</f>
        <v/>
      </c>
      <c r="V26">
        <f>HYPERLINK("https://klasma.github.io/Logging_0127/klagomål/A 23829-2023 FSC-klagomål.docx", "A 23829-2023")</f>
        <v/>
      </c>
      <c r="W26">
        <f>HYPERLINK("https://klasma.github.io/Logging_0127/klagomålsmail/A 23829-2023 FSC-klagomål mail.docx", "A 23829-2023")</f>
        <v/>
      </c>
      <c r="X26">
        <f>HYPERLINK("https://klasma.github.io/Logging_0127/tillsyn/A 23829-2023 tillsynsbegäran.docx", "A 23829-2023")</f>
        <v/>
      </c>
      <c r="Y26">
        <f>HYPERLINK("https://klasma.github.io/Logging_0127/tillsynsmail/A 23829-2023 tillsynsbegäran mail.docx", "A 23829-2023")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45833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HYPERLINK("https://klasma.github.io/Logging_010127/artfynd/A 14214-2025 artfynd.xlsx", "A 14214-2025")</f>
        <v/>
      </c>
      <c r="T27">
        <f>HYPERLINK("https://klasma.github.io/Logging_010127/kartor/A 14214-2025 karta.png", "A 14214-2025")</f>
        <v/>
      </c>
      <c r="V27">
        <f>HYPERLINK("https://klasma.github.io/Logging_010127/klagomål/A 14214-2025 FSC-klagomål.docx", "A 14214-2025")</f>
        <v/>
      </c>
      <c r="W27">
        <f>HYPERLINK("https://klasma.github.io/Logging_010127/klagomålsmail/A 14214-2025 FSC-klagomål mail.docx", "A 14214-2025")</f>
        <v/>
      </c>
      <c r="X27">
        <f>HYPERLINK("https://klasma.github.io/Logging_010127/tillsyn/A 14214-2025 tillsynsbegäran.docx", "A 14214-2025")</f>
        <v/>
      </c>
      <c r="Y27">
        <f>HYPERLINK("https://klasma.github.io/Logging_010127/tillsynsmail/A 14214-2025 tillsynsbegäran mail.docx", "A 14214-2025")</f>
        <v/>
      </c>
    </row>
    <row r="28" ht="15" customHeight="1">
      <c r="A28" t="inlineStr">
        <is>
          <t>A 40642-2019</t>
        </is>
      </c>
      <c r="B28" s="1" t="n">
        <v>43696</v>
      </c>
      <c r="C28" s="1" t="n">
        <v>45833</v>
      </c>
      <c r="D28" t="inlineStr">
        <is>
          <t>STOCKHOLMS LÄN</t>
        </is>
      </c>
      <c r="E28" t="inlineStr">
        <is>
          <t>BOTKYRKA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40641-2019</t>
        </is>
      </c>
      <c r="B29" s="1" t="n">
        <v>43696</v>
      </c>
      <c r="C29" s="1" t="n">
        <v>45833</v>
      </c>
      <c r="D29" t="inlineStr">
        <is>
          <t>STOCKHOLMS LÄN</t>
        </is>
      </c>
      <c r="E29" t="inlineStr">
        <is>
          <t>BOTKYRKA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42448-2019</t>
        </is>
      </c>
      <c r="B30" s="1" t="n">
        <v>43704</v>
      </c>
      <c r="C30" s="1" t="n">
        <v>45833</v>
      </c>
      <c r="D30" t="inlineStr">
        <is>
          <t>STOCKHOLMS LÄN</t>
        </is>
      </c>
      <c r="E30" t="inlineStr">
        <is>
          <t>BOTKYRKA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51387-2019</t>
        </is>
      </c>
      <c r="B31" s="1" t="n">
        <v>43740</v>
      </c>
      <c r="C31" s="1" t="n">
        <v>45833</v>
      </c>
      <c r="D31" t="inlineStr">
        <is>
          <t>STOCKHOLMS LÄN</t>
        </is>
      </c>
      <c r="E31" t="inlineStr">
        <is>
          <t>BOTKYRKA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10790-2020</t>
        </is>
      </c>
      <c r="B32" s="1" t="n">
        <v>43888</v>
      </c>
      <c r="C32" s="1" t="n">
        <v>45833</v>
      </c>
      <c r="D32" t="inlineStr">
        <is>
          <t>STOCKHOLMS LÄN</t>
        </is>
      </c>
      <c r="E32" t="inlineStr">
        <is>
          <t>BOTKYRKA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10807-2020</t>
        </is>
      </c>
      <c r="B33" s="1" t="n">
        <v>43888</v>
      </c>
      <c r="C33" s="1" t="n">
        <v>45833</v>
      </c>
      <c r="D33" t="inlineStr">
        <is>
          <t>STOCKHOLMS LÄN</t>
        </is>
      </c>
      <c r="E33" t="inlineStr">
        <is>
          <t>BOTKYRKA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12321-2020</t>
        </is>
      </c>
      <c r="B34" s="1" t="n">
        <v>43895</v>
      </c>
      <c r="C34" s="1" t="n">
        <v>45833</v>
      </c>
      <c r="D34" t="inlineStr">
        <is>
          <t>STOCKHOLMS LÄN</t>
        </is>
      </c>
      <c r="E34" t="inlineStr">
        <is>
          <t>BOTKYRKA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12320-2020</t>
        </is>
      </c>
      <c r="B35" s="1" t="n">
        <v>43895</v>
      </c>
      <c r="C35" s="1" t="n">
        <v>45833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12988-2020</t>
        </is>
      </c>
      <c r="B36" s="1" t="n">
        <v>43900</v>
      </c>
      <c r="C36" s="1" t="n">
        <v>45833</v>
      </c>
      <c r="D36" t="inlineStr">
        <is>
          <t>STOCKHOLMS LÄN</t>
        </is>
      </c>
      <c r="E36" t="inlineStr">
        <is>
          <t>BOTKYRKA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16048-2020</t>
        </is>
      </c>
      <c r="B37" s="1" t="n">
        <v>43916</v>
      </c>
      <c r="C37" s="1" t="n">
        <v>45833</v>
      </c>
      <c r="D37" t="inlineStr">
        <is>
          <t>STOCKHOLMS LÄN</t>
        </is>
      </c>
      <c r="E37" t="inlineStr">
        <is>
          <t>BOTKYRKA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21645-2020</t>
        </is>
      </c>
      <c r="B38" s="1" t="n">
        <v>43956</v>
      </c>
      <c r="C38" s="1" t="n">
        <v>45833</v>
      </c>
      <c r="D38" t="inlineStr">
        <is>
          <t>STOCKHOLMS LÄN</t>
        </is>
      </c>
      <c r="E38" t="inlineStr">
        <is>
          <t>BOTKYRKA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23426-2020</t>
        </is>
      </c>
      <c r="B39" s="1" t="n">
        <v>43969</v>
      </c>
      <c r="C39" s="1" t="n">
        <v>45833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33881-2020</t>
        </is>
      </c>
      <c r="B40" s="1" t="n">
        <v>44025</v>
      </c>
      <c r="C40" s="1" t="n">
        <v>45833</v>
      </c>
      <c r="D40" t="inlineStr">
        <is>
          <t>STOCKHOLMS LÄN</t>
        </is>
      </c>
      <c r="E40" t="inlineStr">
        <is>
          <t>BOTKYRKA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39531-2020</t>
        </is>
      </c>
      <c r="B41" s="1" t="n">
        <v>44064</v>
      </c>
      <c r="C41" s="1" t="n">
        <v>45833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45833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53979-2020</t>
        </is>
      </c>
      <c r="B43" s="1" t="n">
        <v>44125</v>
      </c>
      <c r="C43" s="1" t="n">
        <v>45833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55200-2020</t>
        </is>
      </c>
      <c r="B44" s="1" t="n">
        <v>44130</v>
      </c>
      <c r="C44" s="1" t="n">
        <v>45833</v>
      </c>
      <c r="D44" t="inlineStr">
        <is>
          <t>STOCKHOLMS LÄN</t>
        </is>
      </c>
      <c r="E44" t="inlineStr">
        <is>
          <t>BOTKYRKA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57809-2020</t>
        </is>
      </c>
      <c r="B45" s="1" t="n">
        <v>44141</v>
      </c>
      <c r="C45" s="1" t="n">
        <v>45833</v>
      </c>
      <c r="D45" t="inlineStr">
        <is>
          <t>STOCKHOLMS LÄN</t>
        </is>
      </c>
      <c r="E45" t="inlineStr">
        <is>
          <t>BOTKYRKA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58517-2020</t>
        </is>
      </c>
      <c r="B46" s="1" t="n">
        <v>44145</v>
      </c>
      <c r="C46" s="1" t="n">
        <v>45833</v>
      </c>
      <c r="D46" t="inlineStr">
        <is>
          <t>STOCKHOLMS LÄN</t>
        </is>
      </c>
      <c r="E46" t="inlineStr">
        <is>
          <t>BOTKYRKA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58531-2020</t>
        </is>
      </c>
      <c r="B47" s="1" t="n">
        <v>44145</v>
      </c>
      <c r="C47" s="1" t="n">
        <v>45833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45833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4281-2021</t>
        </is>
      </c>
      <c r="B49" s="1" t="n">
        <v>44223</v>
      </c>
      <c r="C49" s="1" t="n">
        <v>45833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10808-2021</t>
        </is>
      </c>
      <c r="B50" s="1" t="n">
        <v>44259</v>
      </c>
      <c r="C50" s="1" t="n">
        <v>45833</v>
      </c>
      <c r="D50" t="inlineStr">
        <is>
          <t>STOCKHOLMS LÄN</t>
        </is>
      </c>
      <c r="E50" t="inlineStr">
        <is>
          <t>BOTKYRKA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10817-2021</t>
        </is>
      </c>
      <c r="B51" s="1" t="n">
        <v>44259</v>
      </c>
      <c r="C51" s="1" t="n">
        <v>45833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45833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20210-2021</t>
        </is>
      </c>
      <c r="B53" s="1" t="n">
        <v>44314</v>
      </c>
      <c r="C53" s="1" t="n">
        <v>45833</v>
      </c>
      <c r="D53" t="inlineStr">
        <is>
          <t>STOCKHOLMS LÄN</t>
        </is>
      </c>
      <c r="E53" t="inlineStr">
        <is>
          <t>BOTKYRKA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27791-2021</t>
        </is>
      </c>
      <c r="B54" s="1" t="n">
        <v>44354</v>
      </c>
      <c r="C54" s="1" t="n">
        <v>45833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33016-2021</t>
        </is>
      </c>
      <c r="B55" s="1" t="n">
        <v>44376</v>
      </c>
      <c r="C55" s="1" t="n">
        <v>45833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33015-2021</t>
        </is>
      </c>
      <c r="B56" s="1" t="n">
        <v>44376</v>
      </c>
      <c r="C56" s="1" t="n">
        <v>45833</v>
      </c>
      <c r="D56" t="inlineStr">
        <is>
          <t>STOCKHOLMS LÄN</t>
        </is>
      </c>
      <c r="E56" t="inlineStr">
        <is>
          <t>BOTKYRKA</t>
        </is>
      </c>
      <c r="G56" t="n">
        <v>48.7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35492-2021</t>
        </is>
      </c>
      <c r="B57" s="1" t="n">
        <v>44385</v>
      </c>
      <c r="C57" s="1" t="n">
        <v>45833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45833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37095-2021</t>
        </is>
      </c>
      <c r="B59" s="1" t="n">
        <v>44395</v>
      </c>
      <c r="C59" s="1" t="n">
        <v>45833</v>
      </c>
      <c r="D59" t="inlineStr">
        <is>
          <t>STOCKHOLMS LÄN</t>
        </is>
      </c>
      <c r="E59" t="inlineStr">
        <is>
          <t>BOTKYRKA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43717-2021</t>
        </is>
      </c>
      <c r="B60" s="1" t="n">
        <v>44433</v>
      </c>
      <c r="C60" s="1" t="n">
        <v>45833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52035-2021</t>
        </is>
      </c>
      <c r="B61" s="1" t="n">
        <v>44463</v>
      </c>
      <c r="C61" s="1" t="n">
        <v>45833</v>
      </c>
      <c r="D61" t="inlineStr">
        <is>
          <t>STOCKHOLMS LÄN</t>
        </is>
      </c>
      <c r="E61" t="inlineStr">
        <is>
          <t>BOTKYRKA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45833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45833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45833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45833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45833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45833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45833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45833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45833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45833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45833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45833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45833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45833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45833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45833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45833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45833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45833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45833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45833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45833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45833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45833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45833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45833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45833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45833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45833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45833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45833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45833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45833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45833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45833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45833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45833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45833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45833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45833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45833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45833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45833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45833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45833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45833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45833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45833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45833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45833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45833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HYPERLINK("https://klasma.github.io/Logging_0127/knärot/A 40978-2023 karta knärot.png", "A 40978-2023")</f>
        <v/>
      </c>
      <c r="V112">
        <f>HYPERLINK("https://klasma.github.io/Logging_0127/klagomål/A 40978-2023 FSC-klagomål.docx", "A 40978-2023")</f>
        <v/>
      </c>
      <c r="W112">
        <f>HYPERLINK("https://klasma.github.io/Logging_0127/klagomålsmail/A 40978-2023 FSC-klagomål mail.docx", "A 40978-2023")</f>
        <v/>
      </c>
      <c r="X112">
        <f>HYPERLINK("https://klasma.github.io/Logging_0127/tillsyn/A 40978-2023 tillsynsbegäran.docx", "A 40978-2023")</f>
        <v/>
      </c>
      <c r="Y112">
        <f>HYPERLINK("https://klasma.github.io/Logging_0127/tillsynsmail/A 40978-2023 tillsynsbegäran mail.docx", "A 40978-2023")</f>
        <v/>
      </c>
    </row>
    <row r="113" ht="15" customHeight="1">
      <c r="A113" t="inlineStr">
        <is>
          <t>A 46942-2023</t>
        </is>
      </c>
      <c r="B113" s="1" t="n">
        <v>45195</v>
      </c>
      <c r="C113" s="1" t="n">
        <v>45833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45833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45833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45833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45833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45833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45833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45833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45833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8528-2024</t>
        </is>
      </c>
      <c r="B122" s="1" t="n">
        <v>45355</v>
      </c>
      <c r="C122" s="1" t="n">
        <v>45833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11867-2024</t>
        </is>
      </c>
      <c r="B123" s="1" t="n">
        <v>45376</v>
      </c>
      <c r="C123" s="1" t="n">
        <v>45833</v>
      </c>
      <c r="D123" t="inlineStr">
        <is>
          <t>STOCKHOLMS LÄN</t>
        </is>
      </c>
      <c r="E123" t="inlineStr">
        <is>
          <t>BOTKYRKA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11876-2024</t>
        </is>
      </c>
      <c r="B124" s="1" t="n">
        <v>45376</v>
      </c>
      <c r="C124" s="1" t="n">
        <v>45833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16142-2024</t>
        </is>
      </c>
      <c r="B125" s="1" t="n">
        <v>45406</v>
      </c>
      <c r="C125" s="1" t="n">
        <v>45833</v>
      </c>
      <c r="D125" t="inlineStr">
        <is>
          <t>STOCKHOLMS LÄN</t>
        </is>
      </c>
      <c r="E125" t="inlineStr">
        <is>
          <t>BOTKYRKA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16145-2024</t>
        </is>
      </c>
      <c r="B126" s="1" t="n">
        <v>45406</v>
      </c>
      <c r="C126" s="1" t="n">
        <v>45833</v>
      </c>
      <c r="D126" t="inlineStr">
        <is>
          <t>STOCKHOLMS LÄN</t>
        </is>
      </c>
      <c r="E126" t="inlineStr">
        <is>
          <t>BOTKYRKA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16149-2024</t>
        </is>
      </c>
      <c r="B127" s="1" t="n">
        <v>45406</v>
      </c>
      <c r="C127" s="1" t="n">
        <v>45833</v>
      </c>
      <c r="D127" t="inlineStr">
        <is>
          <t>STOCKHOLMS LÄN</t>
        </is>
      </c>
      <c r="E127" t="inlineStr">
        <is>
          <t>BOTKYRKA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19319-2024</t>
        </is>
      </c>
      <c r="B128" s="1" t="n">
        <v>45428</v>
      </c>
      <c r="C128" s="1" t="n">
        <v>45833</v>
      </c>
      <c r="D128" t="inlineStr">
        <is>
          <t>STOCKHOLMS LÄN</t>
        </is>
      </c>
      <c r="E128" t="inlineStr">
        <is>
          <t>BOTKYRKA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19318-2024</t>
        </is>
      </c>
      <c r="B129" s="1" t="n">
        <v>45428</v>
      </c>
      <c r="C129" s="1" t="n">
        <v>45833</v>
      </c>
      <c r="D129" t="inlineStr">
        <is>
          <t>STOCKHOLMS LÄN</t>
        </is>
      </c>
      <c r="E129" t="inlineStr">
        <is>
          <t>BOTKYRKA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23670-2024</t>
        </is>
      </c>
      <c r="B130" s="1" t="n">
        <v>45454</v>
      </c>
      <c r="C130" s="1" t="n">
        <v>45833</v>
      </c>
      <c r="D130" t="inlineStr">
        <is>
          <t>STOCKHOLMS LÄN</t>
        </is>
      </c>
      <c r="E130" t="inlineStr">
        <is>
          <t>BOTKYRKA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25217-2024</t>
        </is>
      </c>
      <c r="B131" s="1" t="n">
        <v>45462</v>
      </c>
      <c r="C131" s="1" t="n">
        <v>45833</v>
      </c>
      <c r="D131" t="inlineStr">
        <is>
          <t>STOCKHOLMS LÄN</t>
        </is>
      </c>
      <c r="E131" t="inlineStr">
        <is>
          <t>BOTKYRKA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25156-2024</t>
        </is>
      </c>
      <c r="B132" s="1" t="n">
        <v>45462</v>
      </c>
      <c r="C132" s="1" t="n">
        <v>45833</v>
      </c>
      <c r="D132" t="inlineStr">
        <is>
          <t>STOCKHOLMS LÄN</t>
        </is>
      </c>
      <c r="E132" t="inlineStr">
        <is>
          <t>BOTKYRKA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28983-2024</t>
        </is>
      </c>
      <c r="B133" s="1" t="n">
        <v>45481</v>
      </c>
      <c r="C133" s="1" t="n">
        <v>45833</v>
      </c>
      <c r="D133" t="inlineStr">
        <is>
          <t>STOCKHOLMS LÄN</t>
        </is>
      </c>
      <c r="E133" t="inlineStr">
        <is>
          <t>BOTKYRKA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30378-2024</t>
        </is>
      </c>
      <c r="B134" s="1" t="n">
        <v>45491</v>
      </c>
      <c r="C134" s="1" t="n">
        <v>45833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30622-2024</t>
        </is>
      </c>
      <c r="B135" s="1" t="n">
        <v>45495</v>
      </c>
      <c r="C135" s="1" t="n">
        <v>45833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35197-2024</t>
        </is>
      </c>
      <c r="B136" s="1" t="n">
        <v>45530</v>
      </c>
      <c r="C136" s="1" t="n">
        <v>45833</v>
      </c>
      <c r="D136" t="inlineStr">
        <is>
          <t>STOCKHOLMS LÄN</t>
        </is>
      </c>
      <c r="E136" t="inlineStr">
        <is>
          <t>BOTKYRKA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35180-2024</t>
        </is>
      </c>
      <c r="B137" s="1" t="n">
        <v>45530</v>
      </c>
      <c r="C137" s="1" t="n">
        <v>45833</v>
      </c>
      <c r="D137" t="inlineStr">
        <is>
          <t>STOCKHOLMS LÄN</t>
        </is>
      </c>
      <c r="E137" t="inlineStr">
        <is>
          <t>BOTKYRKA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52263-2024</t>
        </is>
      </c>
      <c r="B138" s="1" t="n">
        <v>45608</v>
      </c>
      <c r="C138" s="1" t="n">
        <v>45833</v>
      </c>
      <c r="D138" t="inlineStr">
        <is>
          <t>STOCKHOLMS LÄN</t>
        </is>
      </c>
      <c r="E138" t="inlineStr">
        <is>
          <t>BOTKYRKA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52464-2024</t>
        </is>
      </c>
      <c r="B139" s="1" t="n">
        <v>45609</v>
      </c>
      <c r="C139" s="1" t="n">
        <v>45833</v>
      </c>
      <c r="D139" t="inlineStr">
        <is>
          <t>STOCKHOLMS LÄN</t>
        </is>
      </c>
      <c r="E139" t="inlineStr">
        <is>
          <t>BOTKYRKA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61320-2024</t>
        </is>
      </c>
      <c r="B140" s="1" t="n">
        <v>45646</v>
      </c>
      <c r="C140" s="1" t="n">
        <v>45833</v>
      </c>
      <c r="D140" t="inlineStr">
        <is>
          <t>STOCKHOLMS LÄN</t>
        </is>
      </c>
      <c r="E140" t="inlineStr">
        <is>
          <t>BOTKYRKA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27-2025</t>
        </is>
      </c>
      <c r="B141" s="1" t="n">
        <v>45659</v>
      </c>
      <c r="C141" s="1" t="n">
        <v>45833</v>
      </c>
      <c r="D141" t="inlineStr">
        <is>
          <t>STOCKHOLMS LÄN</t>
        </is>
      </c>
      <c r="E141" t="inlineStr">
        <is>
          <t>BOTKYRKA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25-2025</t>
        </is>
      </c>
      <c r="B142" s="1" t="n">
        <v>45658</v>
      </c>
      <c r="C142" s="1" t="n">
        <v>45833</v>
      </c>
      <c r="D142" t="inlineStr">
        <is>
          <t>STOCKHOLMS LÄN</t>
        </is>
      </c>
      <c r="E142" t="inlineStr">
        <is>
          <t>BOTKYRKA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44-2025</t>
        </is>
      </c>
      <c r="B143" s="1" t="n">
        <v>45659</v>
      </c>
      <c r="C143" s="1" t="n">
        <v>45833</v>
      </c>
      <c r="D143" t="inlineStr">
        <is>
          <t>STOCKHOLMS LÄN</t>
        </is>
      </c>
      <c r="E143" t="inlineStr">
        <is>
          <t>BOTKYRKA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1240-2025</t>
        </is>
      </c>
      <c r="B144" s="1" t="n">
        <v>45667</v>
      </c>
      <c r="C144" s="1" t="n">
        <v>45833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3021-2025</t>
        </is>
      </c>
      <c r="B145" s="1" t="n">
        <v>45678</v>
      </c>
      <c r="C145" s="1" t="n">
        <v>45833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5119-2025</t>
        </is>
      </c>
      <c r="B146" s="1" t="n">
        <v>45691</v>
      </c>
      <c r="C146" s="1" t="n">
        <v>45833</v>
      </c>
      <c r="D146" t="inlineStr">
        <is>
          <t>STOCKHOLMS LÄN</t>
        </is>
      </c>
      <c r="E146" t="inlineStr">
        <is>
          <t>BOTKYRKA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14217-2025</t>
        </is>
      </c>
      <c r="B147" s="1" t="n">
        <v>45740</v>
      </c>
      <c r="C147" s="1" t="n">
        <v>45833</v>
      </c>
      <c r="D147" t="inlineStr">
        <is>
          <t>STOCKHOLMS LÄN</t>
        </is>
      </c>
      <c r="E147" t="inlineStr">
        <is>
          <t>BOTKYRKA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14210-2025</t>
        </is>
      </c>
      <c r="B148" s="1" t="n">
        <v>45740</v>
      </c>
      <c r="C148" s="1" t="n">
        <v>45833</v>
      </c>
      <c r="D148" t="inlineStr">
        <is>
          <t>STOCKHOLMS LÄN</t>
        </is>
      </c>
      <c r="E148" t="inlineStr">
        <is>
          <t>BOTKYRKA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14202-2025</t>
        </is>
      </c>
      <c r="B149" s="1" t="n">
        <v>45740</v>
      </c>
      <c r="C149" s="1" t="n">
        <v>45833</v>
      </c>
      <c r="D149" t="inlineStr">
        <is>
          <t>STOCKHOLMS LÄN</t>
        </is>
      </c>
      <c r="E149" t="inlineStr">
        <is>
          <t>BOTKYRKA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15246-2025</t>
        </is>
      </c>
      <c r="B150" s="1" t="n">
        <v>45744</v>
      </c>
      <c r="C150" s="1" t="n">
        <v>45833</v>
      </c>
      <c r="D150" t="inlineStr">
        <is>
          <t>STOCKHOLMS LÄN</t>
        </is>
      </c>
      <c r="E150" t="inlineStr">
        <is>
          <t>BOTKYRKA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17446-2025</t>
        </is>
      </c>
      <c r="B151" s="1" t="n">
        <v>45757</v>
      </c>
      <c r="C151" s="1" t="n">
        <v>45833</v>
      </c>
      <c r="D151" t="inlineStr">
        <is>
          <t>STOCKHOLMS LÄN</t>
        </is>
      </c>
      <c r="E151" t="inlineStr">
        <is>
          <t>BOTKYRKA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30067-2025</t>
        </is>
      </c>
      <c r="B152" s="1" t="n">
        <v>45826</v>
      </c>
      <c r="C152" s="1" t="n">
        <v>45833</v>
      </c>
      <c r="D152" t="inlineStr">
        <is>
          <t>STOCKHOLMS LÄN</t>
        </is>
      </c>
      <c r="E152" t="inlineStr">
        <is>
          <t>BOTKYRKA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2025-06-25T19:48:32Z</dcterms:created>
  <dcterms:modified xmlns:dcterms="http://purl.org/dc/terms/" xmlns:xsi="http://www.w3.org/2001/XMLSchema-instance" xsi:type="dcterms:W3CDTF">2025-06-25T19:48:32Z</dcterms:modified>
</cp:coreProperties>
</file>