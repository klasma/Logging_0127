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46265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46265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46265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46265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46265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46265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46265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46265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46265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46265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46265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46265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46265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60406-2025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46265</v>
      </c>
      <c r="F17" t="inlineStr">
        <is>
          <t>STOCKHOLMS LÄN</t>
        </is>
      </c>
      <c r="G17" t="inlineStr">
        <is>
          <t>BOTKYRKA</t>
        </is>
      </c>
      <c r="H17" t="inlineStr">
        <is>
          <t>Övriga Aktiebolag</t>
        </is>
      </c>
      <c r="I17" t="n">
        <v>2.3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Björksplintborre
Mindre märgborre</t>
        </is>
      </c>
      <c r="W17">
        <f>HYPERLINK("https://klasma.github.io/Logging_0127/artfynd/A 60406-2025 artfynd.xlsx", "A 60406-2025")</f>
        <v/>
      </c>
      <c r="X17">
        <f>HYPERLINK("https://klasma.github.io/Logging_0127/kartor/A 60406-2025 karta.png", "A 60406-2025")</f>
        <v/>
      </c>
      <c r="Y17">
        <f>HYPERLINK("https://klasma.github.io/Logging_0127/kartor_geotiff/A 60406-2025 georefererad karta.tif", "A 60406-2025")</f>
        <v/>
      </c>
      <c r="AA17">
        <f>HYPERLINK("https://klasma.github.io/Logging_0127/klagomål/A 60406-2025 FSC-klagomål.docx", "A 60406-2025")</f>
        <v/>
      </c>
      <c r="AB17">
        <f>HYPERLINK("https://klasma.github.io/Logging_0127/klagomålsmail/A 60406-2025 FSC-klagomål mail.docx", "A 60406-2025")</f>
        <v/>
      </c>
      <c r="AC17">
        <f>HYPERLINK("https://klasma.github.io/Logging_0127/tillsyn/A 60406-2025 tillsynsbegäran.docx", "A 60406-2025")</f>
        <v/>
      </c>
      <c r="AD17">
        <f>HYPERLINK("https://klasma.github.io/Logging_0127/tillsynsmail/A 60406-2025 tillsynsbegäran mail.docx", "A 60406-2025")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46265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Motaggsvamp
Svartvit taggsvamp</t>
        </is>
      </c>
      <c r="W18">
        <f>HYPERLINK("https://klasma.github.io/Logging_0127/artfynd/A 15905-2022 artfynd.xlsx", "A 15905-2022")</f>
        <v/>
      </c>
      <c r="X18">
        <f>HYPERLINK("https://klasma.github.io/Logging_0127/kartor/A 15905-2022 karta.png", "A 15905-2022")</f>
        <v/>
      </c>
      <c r="Y18">
        <f>HYPERLINK("https://klasma.github.io/Logging_0127/kartor_geotiff/A 15905-2022 georefererad karta.tif", "A 15905-2022")</f>
        <v/>
      </c>
      <c r="AA18">
        <f>HYPERLINK("https://klasma.github.io/Logging_0127/klagomål/A 15905-2022 FSC-klagomål.docx", "A 15905-2022")</f>
        <v/>
      </c>
      <c r="AB18">
        <f>HYPERLINK("https://klasma.github.io/Logging_0127/klagomålsmail/A 15905-2022 FSC-klagomål mail.docx", "A 15905-2022")</f>
        <v/>
      </c>
      <c r="AC18">
        <f>HYPERLINK("https://klasma.github.io/Logging_0127/tillsyn/A 15905-2022 tillsynsbegäran.docx", "A 15905-2022")</f>
        <v/>
      </c>
      <c r="AD18">
        <f>HYPERLINK("https://klasma.github.io/Logging_0127/tillsynsmail/A 15905-2022 tillsynsbegäran mail.docx", "A 15905-2022")</f>
        <v/>
      </c>
    </row>
    <row r="19" ht="15" customHeight="1">
      <c r="A19" t="inlineStr">
        <is>
          <t>A 18100-2022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44684</v>
      </c>
      <c r="E19" s="1" t="n">
        <v>46265</v>
      </c>
      <c r="F19" t="inlineStr">
        <is>
          <t>STOCKHOLMS LÄN</t>
        </is>
      </c>
      <c r="G19" t="inlineStr">
        <is>
          <t>BOTKYRKA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Svart trolldruva
Gullviva</t>
        </is>
      </c>
      <c r="W19">
        <f>HYPERLINK("https://klasma.github.io/Logging_0127/artfynd/A 18100-2022 artfynd.xlsx", "A 18100-2022")</f>
        <v/>
      </c>
      <c r="X19">
        <f>HYPERLINK("https://klasma.github.io/Logging_0127/kartor/A 18100-2022 karta.png", "A 18100-2022")</f>
        <v/>
      </c>
      <c r="Y19">
        <f>HYPERLINK("https://klasma.github.io/Logging_0127/kartor_geotiff/A 18100-2022 georefererad karta.tif", "A 18100-2022")</f>
        <v/>
      </c>
      <c r="AA19">
        <f>HYPERLINK("https://klasma.github.io/Logging_0127/klagomål/A 18100-2022 FSC-klagomål.docx", "A 18100-2022")</f>
        <v/>
      </c>
      <c r="AB19">
        <f>HYPERLINK("https://klasma.github.io/Logging_0127/klagomålsmail/A 18100-2022 FSC-klagomål mail.docx", "A 18100-2022")</f>
        <v/>
      </c>
      <c r="AC19">
        <f>HYPERLINK("https://klasma.github.io/Logging_0127/tillsyn/A 18100-2022 tillsynsbegäran.docx", "A 18100-2022")</f>
        <v/>
      </c>
      <c r="AD19">
        <f>HYPERLINK("https://klasma.github.io/Logging_0127/tillsynsmail/A 18100-2022 tillsynsbegäran mail.docx", "A 18100-2022")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46265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46265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46265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46265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46265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46265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46265</v>
      </c>
      <c r="F26" t="inlineStr">
        <is>
          <t>STOCKHOLMS LÄN</t>
        </is>
      </c>
      <c r="G26" t="inlineStr">
        <is>
          <t>BOTKYRKA</t>
        </is>
      </c>
      <c r="I26" t="n">
        <v>2.5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Stare</t>
        </is>
      </c>
      <c r="W26">
        <f>HYPERLINK("https://klasma.github.io/Logging_0127/artfynd/A 14214-2025 artfynd.xlsx", "A 14214-2025")</f>
        <v/>
      </c>
      <c r="X26">
        <f>HYPERLINK("https://klasma.github.io/Logging_0127/kartor/A 14214-2025 karta.png", "A 14214-2025")</f>
        <v/>
      </c>
      <c r="Y26">
        <f>HYPERLINK("https://klasma.github.io/Logging_0127/kartor_geotiff/A 14214-2025 georefererad karta.tif", "A 14214-2025")</f>
        <v/>
      </c>
      <c r="AA26">
        <f>HYPERLINK("https://klasma.github.io/Logging_0127/klagomål/A 14214-2025 FSC-klagomål.docx", "A 14214-2025")</f>
        <v/>
      </c>
      <c r="AB26">
        <f>HYPERLINK("https://klasma.github.io/Logging_0127/klagomålsmail/A 14214-2025 FSC-klagomål mail.docx", "A 14214-2025")</f>
        <v/>
      </c>
      <c r="AC26">
        <f>HYPERLINK("https://klasma.github.io/Logging_0127/tillsyn/A 14214-2025 tillsynsbegäran.docx", "A 14214-2025")</f>
        <v/>
      </c>
      <c r="AD26">
        <f>HYPERLINK("https://klasma.github.io/Logging_0127/tillsynsmail/A 14214-2025 tillsynsbegäran mail.docx", "A 14214-2025")</f>
        <v/>
      </c>
      <c r="AE26">
        <f>HYPERLINK("https://klasma.github.io/Logging_0127/fåglar/A 14214-2025 prioriterade fågelarter.docx", "A 14214-2025")</f>
        <v/>
      </c>
    </row>
    <row r="27" ht="15" customHeight="1">
      <c r="A27" t="inlineStr">
        <is>
          <t>A 1691-2023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46265</v>
      </c>
      <c r="F27" t="inlineStr">
        <is>
          <t>STOCKHOLMS LÄN</t>
        </is>
      </c>
      <c r="G27" t="inlineStr">
        <is>
          <t>BOTKYRKA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HYPERLINK("https://klasma.github.io/Logging_0127/artfynd/A 1691-2023 artfynd.xlsx", "A 1691-2023")</f>
        <v/>
      </c>
      <c r="X27">
        <f>HYPERLINK("https://klasma.github.io/Logging_0127/kartor/A 1691-2023 karta.png", "A 1691-2023")</f>
        <v/>
      </c>
      <c r="Y27">
        <f>HYPERLINK("https://klasma.github.io/Logging_0127/kartor_geotiff/A 1691-2023 georefererad karta.tif", "A 1691-2023")</f>
        <v/>
      </c>
      <c r="AA27">
        <f>HYPERLINK("https://klasma.github.io/Logging_0127/klagomål/A 1691-2023 FSC-klagomål.docx", "A 1691-2023")</f>
        <v/>
      </c>
      <c r="AB27">
        <f>HYPERLINK("https://klasma.github.io/Logging_0127/klagomålsmail/A 1691-2023 FSC-klagomål mail.docx", "A 1691-2023")</f>
        <v/>
      </c>
      <c r="AC27">
        <f>HYPERLINK("https://klasma.github.io/Logging_0127/tillsyn/A 1691-2023 tillsynsbegäran.docx", "A 1691-2023")</f>
        <v/>
      </c>
      <c r="AD27">
        <f>HYPERLINK("https://klasma.github.io/Logging_0127/tillsynsmail/A 1691-2023 tillsynsbegäran mail.docx", "A 1691-2023")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46265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46265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15690-2023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45020</v>
      </c>
      <c r="E30" s="1" t="n">
        <v>46265</v>
      </c>
      <c r="F30" t="inlineStr">
        <is>
          <t>STOCKHOLMS LÄN</t>
        </is>
      </c>
      <c r="G30" t="inlineStr">
        <is>
          <t>BOTKYRKA</t>
        </is>
      </c>
      <c r="I30" t="n">
        <v>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HYPERLINK("https://klasma.github.io/Logging_0127/artfynd/A 15690-2023 artfynd.xlsx", "A 15690-2023")</f>
        <v/>
      </c>
      <c r="X30">
        <f>HYPERLINK("https://klasma.github.io/Logging_0127/kartor/A 15690-2023 karta.png", "A 15690-2023")</f>
        <v/>
      </c>
      <c r="Y30">
        <f>HYPERLINK("https://klasma.github.io/Logging_0127/kartor_geotiff/A 15690-2023 georefererad karta.tif", "A 15690-2023")</f>
        <v/>
      </c>
      <c r="AA30">
        <f>HYPERLINK("https://klasma.github.io/Logging_0127/klagomål/A 15690-2023 FSC-klagomål.docx", "A 15690-2023")</f>
        <v/>
      </c>
      <c r="AB30">
        <f>HYPERLINK("https://klasma.github.io/Logging_0127/klagomålsmail/A 15690-2023 FSC-klagomål mail.docx", "A 15690-2023")</f>
        <v/>
      </c>
      <c r="AC30">
        <f>HYPERLINK("https://klasma.github.io/Logging_0127/tillsyn/A 15690-2023 tillsynsbegäran.docx", "A 15690-2023")</f>
        <v/>
      </c>
      <c r="AD30">
        <f>HYPERLINK("https://klasma.github.io/Logging_0127/tillsynsmail/A 15690-2023 tillsynsbegäran mail.docx", "A 15690-2023")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46265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46265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46265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46265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46265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46265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46265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46265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46265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46265</v>
      </c>
      <c r="F40" t="inlineStr">
        <is>
          <t>STOCKHOLMS LÄN</t>
        </is>
      </c>
      <c r="G40" t="inlineStr">
        <is>
          <t>BOTKYRKA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46265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46265</v>
      </c>
      <c r="F42" t="inlineStr">
        <is>
          <t>STOCKHOLMS LÄN</t>
        </is>
      </c>
      <c r="G42" t="inlineStr">
        <is>
          <t>BOTKYRKA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46265</v>
      </c>
      <c r="F43" t="inlineStr">
        <is>
          <t>STOCKHOLMS LÄN</t>
        </is>
      </c>
      <c r="G43" t="inlineStr">
        <is>
          <t>BOTKYRKA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46265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46265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46265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45020</v>
      </c>
      <c r="E47" s="1" t="n">
        <v>46265</v>
      </c>
      <c r="F47" t="inlineStr">
        <is>
          <t>STOCKHOLMS LÄN</t>
        </is>
      </c>
      <c r="G47" t="inlineStr">
        <is>
          <t>BOTKYRKA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46265</v>
      </c>
      <c r="F48" t="inlineStr">
        <is>
          <t>STOCKHOLMS LÄN</t>
        </is>
      </c>
      <c r="G48" t="inlineStr">
        <is>
          <t>BOTKYRKA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46265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46265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46265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46265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46265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46265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46265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44700</v>
      </c>
      <c r="E56" s="1" t="n">
        <v>46265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44599</v>
      </c>
      <c r="E57" s="1" t="n">
        <v>46265</v>
      </c>
      <c r="F57" t="inlineStr">
        <is>
          <t>STOCKHOLMS LÄN</t>
        </is>
      </c>
      <c r="G57" t="inlineStr">
        <is>
          <t>BOTKYRKA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8528-2024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45355</v>
      </c>
      <c r="E58" s="1" t="n">
        <v>46265</v>
      </c>
      <c r="F58" t="inlineStr">
        <is>
          <t>STOCKHOLMS LÄN</t>
        </is>
      </c>
      <c r="G58" t="inlineStr">
        <is>
          <t>BOTKYRKA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46265</v>
      </c>
      <c r="F59" t="inlineStr">
        <is>
          <t>STOCKHOLMS LÄN</t>
        </is>
      </c>
      <c r="G59" t="inlineStr">
        <is>
          <t>BOTKYRKA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46265</v>
      </c>
      <c r="F60" t="inlineStr">
        <is>
          <t>STOCKHOLMS LÄN</t>
        </is>
      </c>
      <c r="G60" t="inlineStr">
        <is>
          <t>BOTKYRKA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25217-2024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45462</v>
      </c>
      <c r="E61" s="1" t="n">
        <v>46265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46265</v>
      </c>
      <c r="F62" t="inlineStr">
        <is>
          <t>STOCKHOLMS LÄN</t>
        </is>
      </c>
      <c r="G62" t="inlineStr">
        <is>
          <t>BOTKYRKA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30622-2024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45495</v>
      </c>
      <c r="E63" s="1" t="n">
        <v>46265</v>
      </c>
      <c r="F63" t="inlineStr">
        <is>
          <t>STOCKHOLMS LÄN</t>
        </is>
      </c>
      <c r="G63" t="inlineStr">
        <is>
          <t>BOTKYRKA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46265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46265</v>
      </c>
      <c r="F65" t="inlineStr">
        <is>
          <t>STOCKHOLMS LÄN</t>
        </is>
      </c>
      <c r="G65" t="inlineStr">
        <is>
          <t>BOTKYRKA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14217-2025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46265</v>
      </c>
      <c r="F66" t="inlineStr">
        <is>
          <t>STOCKHOLMS LÄN</t>
        </is>
      </c>
      <c r="G66" t="inlineStr">
        <is>
          <t>BOTKYRKA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22391-2026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46265</v>
      </c>
      <c r="F67" t="inlineStr">
        <is>
          <t>STOCKHOLMS LÄN</t>
        </is>
      </c>
      <c r="G67" t="inlineStr">
        <is>
          <t>BOTKYRKA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46265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46265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46265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46190</v>
      </c>
      <c r="E71" s="1" t="n">
        <v>46265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46265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46265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2026-08-31T09:58:01Z</dcterms:created>
  <dcterms:modified xmlns:dcterms="http://purl.org/dc/terms/" xmlns:xsi="http://www.w3.org/2001/XMLSchema-instance" xsi:type="dcterms:W3CDTF">2026-08-31T09:58:01Z</dcterms:modified>
</cp:coreProperties>
</file>