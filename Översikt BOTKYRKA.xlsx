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45915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45915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45915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45915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45915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45915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30055-2025</t>
        </is>
      </c>
      <c r="B8" s="1" t="n">
        <v>45826</v>
      </c>
      <c r="C8" s="1" t="n">
        <v>45915</v>
      </c>
      <c r="D8" t="inlineStr">
        <is>
          <t>STOCKHOLMS LÄN</t>
        </is>
      </c>
      <c r="E8" t="inlineStr">
        <is>
          <t>BOTKYRKA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Klasefibbla
Blåsippa</t>
        </is>
      </c>
      <c r="S8">
        <f>HYPERLINK("https://klasma.github.io/Logging_0127/artfynd/A 30055-2025 artfynd.xlsx", "A 30055-2025")</f>
        <v/>
      </c>
      <c r="T8">
        <f>HYPERLINK("https://klasma.github.io/Logging_0127/kartor/A 30055-2025 karta.png", "A 30055-2025")</f>
        <v/>
      </c>
      <c r="V8">
        <f>HYPERLINK("https://klasma.github.io/Logging_0127/klagomål/A 30055-2025 FSC-klagomål.docx", "A 30055-2025")</f>
        <v/>
      </c>
      <c r="W8">
        <f>HYPERLINK("https://klasma.github.io/Logging_0127/klagomålsmail/A 30055-2025 FSC-klagomål mail.docx", "A 30055-2025")</f>
        <v/>
      </c>
      <c r="X8">
        <f>HYPERLINK("https://klasma.github.io/Logging_0127/tillsyn/A 30055-2025 tillsynsbegäran.docx", "A 30055-2025")</f>
        <v/>
      </c>
      <c r="Y8">
        <f>HYPERLINK("https://klasma.github.io/Logging_0127/tillsynsmail/A 30055-2025 tillsynsbegäran mail.docx", "A 30055-2025")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45915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45915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45915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45915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45915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3726-2022</t>
        </is>
      </c>
      <c r="B14" s="1" t="n">
        <v>44586</v>
      </c>
      <c r="C14" s="1" t="n">
        <v>45915</v>
      </c>
      <c r="D14" t="inlineStr">
        <is>
          <t>STOCKHOLMS LÄN</t>
        </is>
      </c>
      <c r="E14" t="inlineStr">
        <is>
          <t>BOTKYRKA</t>
        </is>
      </c>
      <c r="G14" t="n">
        <v>17.1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HYPERLINK("https://klasma.github.io/Logging_0127/artfynd/A 3726-2022 artfynd.xlsx", "A 3726-2022")</f>
        <v/>
      </c>
      <c r="T14">
        <f>HYPERLINK("https://klasma.github.io/Logging_0127/kartor/A 3726-2022 karta.png", "A 3726-2022")</f>
        <v/>
      </c>
      <c r="V14">
        <f>HYPERLINK("https://klasma.github.io/Logging_0127/klagomål/A 3726-2022 FSC-klagomål.docx", "A 3726-2022")</f>
        <v/>
      </c>
      <c r="W14">
        <f>HYPERLINK("https://klasma.github.io/Logging_0127/klagomålsmail/A 3726-2022 FSC-klagomål mail.docx", "A 3726-2022")</f>
        <v/>
      </c>
      <c r="X14">
        <f>HYPERLINK("https://klasma.github.io/Logging_0127/tillsyn/A 3726-2022 tillsynsbegäran.docx", "A 3726-2022")</f>
        <v/>
      </c>
      <c r="Y14">
        <f>HYPERLINK("https://klasma.github.io/Logging_0127/tillsynsmail/A 3726-2022 tillsynsbegäran mail.docx", "A 3726-2022")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45915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45915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45915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45915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45915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45915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35492-2021</t>
        </is>
      </c>
      <c r="B21" s="1" t="n">
        <v>44385</v>
      </c>
      <c r="C21" s="1" t="n">
        <v>45915</v>
      </c>
      <c r="D21" t="inlineStr">
        <is>
          <t>STOCKHOLMS LÄN</t>
        </is>
      </c>
      <c r="E21" t="inlineStr">
        <is>
          <t>BOTKYRKA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45915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48647-2022</t>
        </is>
      </c>
      <c r="B23" s="1" t="n">
        <v>44859</v>
      </c>
      <c r="C23" s="1" t="n">
        <v>45915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20210-2021</t>
        </is>
      </c>
      <c r="B24" s="1" t="n">
        <v>44314</v>
      </c>
      <c r="C24" s="1" t="n">
        <v>45915</v>
      </c>
      <c r="D24" t="inlineStr">
        <is>
          <t>STOCKHOLMS LÄN</t>
        </is>
      </c>
      <c r="E24" t="inlineStr">
        <is>
          <t>BOTKYRKA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45915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73772-2021</t>
        </is>
      </c>
      <c r="B26" s="1" t="n">
        <v>44552</v>
      </c>
      <c r="C26" s="1" t="n">
        <v>45915</v>
      </c>
      <c r="D26" t="inlineStr">
        <is>
          <t>STOCKHOLMS LÄN</t>
        </is>
      </c>
      <c r="E26" t="inlineStr">
        <is>
          <t>BOTKYRKA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45915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45915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48656-2022</t>
        </is>
      </c>
      <c r="B29" s="1" t="n">
        <v>44859.43993055556</v>
      </c>
      <c r="C29" s="1" t="n">
        <v>45915</v>
      </c>
      <c r="D29" t="inlineStr">
        <is>
          <t>STOCKHOLMS LÄN</t>
        </is>
      </c>
      <c r="E29" t="inlineStr">
        <is>
          <t>BOTKYRKA</t>
        </is>
      </c>
      <c r="F29" t="inlineStr">
        <is>
          <t>Övriga Aktiebolag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16149-2024</t>
        </is>
      </c>
      <c r="B30" s="1" t="n">
        <v>45406.56984953704</v>
      </c>
      <c r="C30" s="1" t="n">
        <v>45915</v>
      </c>
      <c r="D30" t="inlineStr">
        <is>
          <t>STOCKHOLMS LÄN</t>
        </is>
      </c>
      <c r="E30" t="inlineStr">
        <is>
          <t>BOTKYRKA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16145-2024</t>
        </is>
      </c>
      <c r="B31" s="1" t="n">
        <v>45406.56561342593</v>
      </c>
      <c r="C31" s="1" t="n">
        <v>45915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46405-2022</t>
        </is>
      </c>
      <c r="B32" s="1" t="n">
        <v>44846</v>
      </c>
      <c r="C32" s="1" t="n">
        <v>45915</v>
      </c>
      <c r="D32" t="inlineStr">
        <is>
          <t>STOCKHOLMS LÄN</t>
        </is>
      </c>
      <c r="E32" t="inlineStr">
        <is>
          <t>BOTKYRKA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45915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73151-2021</t>
        </is>
      </c>
      <c r="B34" s="1" t="n">
        <v>44550.5162037037</v>
      </c>
      <c r="C34" s="1" t="n">
        <v>45915</v>
      </c>
      <c r="D34" t="inlineStr">
        <is>
          <t>STOCKHOLMS LÄN</t>
        </is>
      </c>
      <c r="E34" t="inlineStr">
        <is>
          <t>BOTKYRKA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73194-2021</t>
        </is>
      </c>
      <c r="B35" s="1" t="n">
        <v>44550.61508101852</v>
      </c>
      <c r="C35" s="1" t="n">
        <v>45915</v>
      </c>
      <c r="D35" t="inlineStr">
        <is>
          <t>STOCKHOLMS LÄN</t>
        </is>
      </c>
      <c r="E35" t="inlineStr">
        <is>
          <t>BOTKYRKA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45915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11876-2024</t>
        </is>
      </c>
      <c r="B37" s="1" t="n">
        <v>45376.47072916666</v>
      </c>
      <c r="C37" s="1" t="n">
        <v>45915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38194-2022</t>
        </is>
      </c>
      <c r="B38" s="1" t="n">
        <v>44812</v>
      </c>
      <c r="C38" s="1" t="n">
        <v>45915</v>
      </c>
      <c r="D38" t="inlineStr">
        <is>
          <t>STOCKHOLMS LÄN</t>
        </is>
      </c>
      <c r="E38" t="inlineStr">
        <is>
          <t>BOTKYRKA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16142-2024</t>
        </is>
      </c>
      <c r="B39" s="1" t="n">
        <v>45406</v>
      </c>
      <c r="C39" s="1" t="n">
        <v>45915</v>
      </c>
      <c r="D39" t="inlineStr">
        <is>
          <t>STOCKHOLMS LÄN</t>
        </is>
      </c>
      <c r="E39" t="inlineStr">
        <is>
          <t>BOTKYRKA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10817-2021</t>
        </is>
      </c>
      <c r="B40" s="1" t="n">
        <v>44259</v>
      </c>
      <c r="C40" s="1" t="n">
        <v>45915</v>
      </c>
      <c r="D40" t="inlineStr">
        <is>
          <t>STOCKHOLMS LÄN</t>
        </is>
      </c>
      <c r="E40" t="inlineStr">
        <is>
          <t>BOTKYRKA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52035-2021</t>
        </is>
      </c>
      <c r="B41" s="1" t="n">
        <v>44463</v>
      </c>
      <c r="C41" s="1" t="n">
        <v>45915</v>
      </c>
      <c r="D41" t="inlineStr">
        <is>
          <t>STOCKHOLMS LÄN</t>
        </is>
      </c>
      <c r="E41" t="inlineStr">
        <is>
          <t>BOTKYRKA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45915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45915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45915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45915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45915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45915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45915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45915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45915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45915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20649-2022</t>
        </is>
      </c>
      <c r="B52" s="1" t="n">
        <v>44700</v>
      </c>
      <c r="C52" s="1" t="n">
        <v>45915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45915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45915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45915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45915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45915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45915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21285-2023</t>
        </is>
      </c>
      <c r="B59" s="1" t="n">
        <v>45062</v>
      </c>
      <c r="C59" s="1" t="n">
        <v>45915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35197-2024</t>
        </is>
      </c>
      <c r="B60" s="1" t="n">
        <v>45530</v>
      </c>
      <c r="C60" s="1" t="n">
        <v>45915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3021-2025</t>
        </is>
      </c>
      <c r="B61" s="1" t="n">
        <v>45678.57962962963</v>
      </c>
      <c r="C61" s="1" t="n">
        <v>45915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36097-2021</t>
        </is>
      </c>
      <c r="B62" s="1" t="n">
        <v>44389</v>
      </c>
      <c r="C62" s="1" t="n">
        <v>45915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57809-2020</t>
        </is>
      </c>
      <c r="B63" s="1" t="n">
        <v>44141</v>
      </c>
      <c r="C63" s="1" t="n">
        <v>45915</v>
      </c>
      <c r="D63" t="inlineStr">
        <is>
          <t>STOCKHOLMS LÄN</t>
        </is>
      </c>
      <c r="E63" t="inlineStr">
        <is>
          <t>BOTKYRKA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55200-2020</t>
        </is>
      </c>
      <c r="B64" s="1" t="n">
        <v>44130</v>
      </c>
      <c r="C64" s="1" t="n">
        <v>45915</v>
      </c>
      <c r="D64" t="inlineStr">
        <is>
          <t>STOCKHOLMS LÄN</t>
        </is>
      </c>
      <c r="E64" t="inlineStr">
        <is>
          <t>BOTKYRKA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45915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45915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58517-2020</t>
        </is>
      </c>
      <c r="B67" s="1" t="n">
        <v>44145</v>
      </c>
      <c r="C67" s="1" t="n">
        <v>45915</v>
      </c>
      <c r="D67" t="inlineStr">
        <is>
          <t>STOCKHOLMS LÄN</t>
        </is>
      </c>
      <c r="E67" t="inlineStr">
        <is>
          <t>BOTKYRKA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25217-2024</t>
        </is>
      </c>
      <c r="B68" s="1" t="n">
        <v>45462</v>
      </c>
      <c r="C68" s="1" t="n">
        <v>45915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45915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45915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45915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45915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45869-2022</t>
        </is>
      </c>
      <c r="B73" s="1" t="n">
        <v>44844</v>
      </c>
      <c r="C73" s="1" t="n">
        <v>45915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14217-2025</t>
        </is>
      </c>
      <c r="B74" s="1" t="n">
        <v>45740.58534722222</v>
      </c>
      <c r="C74" s="1" t="n">
        <v>45915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2025-09-15T08:54:39Z</dcterms:created>
  <dcterms:modified xmlns:dcterms="http://purl.org/dc/terms/" xmlns:xsi="http://www.w3.org/2001/XMLSchema-instance" xsi:type="dcterms:W3CDTF">2025-09-15T08:54:39Z</dcterms:modified>
</cp:coreProperties>
</file>