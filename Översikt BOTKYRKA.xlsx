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45888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45888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45888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45888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45888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45888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30067-2025</t>
        </is>
      </c>
      <c r="B8" s="1" t="n">
        <v>45826</v>
      </c>
      <c r="C8" s="1" t="n">
        <v>45888</v>
      </c>
      <c r="D8" t="inlineStr">
        <is>
          <t>STOCKHOLMS LÄN</t>
        </is>
      </c>
      <c r="E8" t="inlineStr">
        <is>
          <t>BOTKYRKA</t>
        </is>
      </c>
      <c r="G8" t="n">
        <v>11.9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HYPERLINK("https://klasma.github.io/Logging_0127/artfynd/A 30067-2025 artfynd.xlsx", "A 30067-2025")</f>
        <v/>
      </c>
      <c r="T8">
        <f>HYPERLINK("https://klasma.github.io/Logging_0127/kartor/A 30067-2025 karta.png", "A 30067-2025")</f>
        <v/>
      </c>
      <c r="V8">
        <f>HYPERLINK("https://klasma.github.io/Logging_0127/klagomål/A 30067-2025 FSC-klagomål.docx", "A 30067-2025")</f>
        <v/>
      </c>
      <c r="W8">
        <f>HYPERLINK("https://klasma.github.io/Logging_0127/klagomålsmail/A 30067-2025 FSC-klagomål mail.docx", "A 30067-2025")</f>
        <v/>
      </c>
      <c r="X8">
        <f>HYPERLINK("https://klasma.github.io/Logging_0127/tillsyn/A 30067-2025 tillsynsbegäran.docx", "A 30067-2025")</f>
        <v/>
      </c>
      <c r="Y8">
        <f>HYPERLINK("https://klasma.github.io/Logging_0127/tillsynsmail/A 30067-2025 tillsynsbegäran mail.docx", "A 30067-2025")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45888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45888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45888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45888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45888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33801-2025</t>
        </is>
      </c>
      <c r="B14" s="1" t="n">
        <v>45842</v>
      </c>
      <c r="C14" s="1" t="n">
        <v>45888</v>
      </c>
      <c r="D14" t="inlineStr">
        <is>
          <t>STOCKHOLMS LÄN</t>
        </is>
      </c>
      <c r="E14" t="inlineStr">
        <is>
          <t>BOTKYRKA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HYPERLINK("https://klasma.github.io/Logging_0127/artfynd/A 33801-2025 artfynd.xlsx", "A 33801-2025")</f>
        <v/>
      </c>
      <c r="T14">
        <f>HYPERLINK("https://klasma.github.io/Logging_0127/kartor/A 33801-2025 karta.png", "A 33801-2025")</f>
        <v/>
      </c>
      <c r="V14">
        <f>HYPERLINK("https://klasma.github.io/Logging_0127/klagomål/A 33801-2025 FSC-klagomål.docx", "A 33801-2025")</f>
        <v/>
      </c>
      <c r="W14">
        <f>HYPERLINK("https://klasma.github.io/Logging_0127/klagomålsmail/A 33801-2025 FSC-klagomål mail.docx", "A 33801-2025")</f>
        <v/>
      </c>
      <c r="X14">
        <f>HYPERLINK("https://klasma.github.io/Logging_0127/tillsyn/A 33801-2025 tillsynsbegäran.docx", "A 33801-2025")</f>
        <v/>
      </c>
      <c r="Y14">
        <f>HYPERLINK("https://klasma.github.io/Logging_0127/tillsynsmail/A 33801-2025 tillsynsbegäran mail.docx", "A 33801-2025")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45888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45888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45888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45888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45888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35492-2021</t>
        </is>
      </c>
      <c r="B20" s="1" t="n">
        <v>44385</v>
      </c>
      <c r="C20" s="1" t="n">
        <v>45888</v>
      </c>
      <c r="D20" t="inlineStr">
        <is>
          <t>STOCKHOLMS LÄN</t>
        </is>
      </c>
      <c r="E20" t="inlineStr">
        <is>
          <t>BOTKYRKA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20210-2021</t>
        </is>
      </c>
      <c r="B21" s="1" t="n">
        <v>44314</v>
      </c>
      <c r="C21" s="1" t="n">
        <v>45888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73772-2021</t>
        </is>
      </c>
      <c r="B22" s="1" t="n">
        <v>44552</v>
      </c>
      <c r="C22" s="1" t="n">
        <v>45888</v>
      </c>
      <c r="D22" t="inlineStr">
        <is>
          <t>STOCKHOLMS LÄN</t>
        </is>
      </c>
      <c r="E22" t="inlineStr">
        <is>
          <t>BOTKYRKA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48647-2022</t>
        </is>
      </c>
      <c r="B23" s="1" t="n">
        <v>44859</v>
      </c>
      <c r="C23" s="1" t="n">
        <v>45888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45888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45888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10817-2021</t>
        </is>
      </c>
      <c r="B26" s="1" t="n">
        <v>44259</v>
      </c>
      <c r="C26" s="1" t="n">
        <v>45888</v>
      </c>
      <c r="D26" t="inlineStr">
        <is>
          <t>STOCKHOLMS LÄN</t>
        </is>
      </c>
      <c r="E26" t="inlineStr">
        <is>
          <t>BOTKYRKA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52035-2021</t>
        </is>
      </c>
      <c r="B27" s="1" t="n">
        <v>44463</v>
      </c>
      <c r="C27" s="1" t="n">
        <v>45888</v>
      </c>
      <c r="D27" t="inlineStr">
        <is>
          <t>STOCKHOLMS LÄN</t>
        </is>
      </c>
      <c r="E27" t="inlineStr">
        <is>
          <t>BOTKYRKA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33015-2021</t>
        </is>
      </c>
      <c r="B28" s="1" t="n">
        <v>44376</v>
      </c>
      <c r="C28" s="1" t="n">
        <v>45888</v>
      </c>
      <c r="D28" t="inlineStr">
        <is>
          <t>STOCKHOLMS LÄN</t>
        </is>
      </c>
      <c r="E28" t="inlineStr">
        <is>
          <t>BOTKYRKA</t>
        </is>
      </c>
      <c r="G28" t="n">
        <v>48.7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33016-2021</t>
        </is>
      </c>
      <c r="B29" s="1" t="n">
        <v>44376</v>
      </c>
      <c r="C29" s="1" t="n">
        <v>45888</v>
      </c>
      <c r="D29" t="inlineStr">
        <is>
          <t>STOCKHOLMS LÄN</t>
        </is>
      </c>
      <c r="E29" t="inlineStr">
        <is>
          <t>BOTKYRKA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14202-2025</t>
        </is>
      </c>
      <c r="B30" s="1" t="n">
        <v>45740.57461805556</v>
      </c>
      <c r="C30" s="1" t="n">
        <v>45888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61242-2022</t>
        </is>
      </c>
      <c r="B31" s="1" t="n">
        <v>44915</v>
      </c>
      <c r="C31" s="1" t="n">
        <v>45888</v>
      </c>
      <c r="D31" t="inlineStr">
        <is>
          <t>STOCKHOLMS LÄN</t>
        </is>
      </c>
      <c r="E31" t="inlineStr">
        <is>
          <t>BOTKYRKA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21285-2023</t>
        </is>
      </c>
      <c r="B32" s="1" t="n">
        <v>45062</v>
      </c>
      <c r="C32" s="1" t="n">
        <v>45888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177-2021</t>
        </is>
      </c>
      <c r="B33" s="1" t="n">
        <v>44200</v>
      </c>
      <c r="C33" s="1" t="n">
        <v>45888</v>
      </c>
      <c r="D33" t="inlineStr">
        <is>
          <t>STOCKHOLMS LÄN</t>
        </is>
      </c>
      <c r="E33" t="inlineStr">
        <is>
          <t>BOTKYRKA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30925-2023</t>
        </is>
      </c>
      <c r="B34" s="1" t="n">
        <v>45113</v>
      </c>
      <c r="C34" s="1" t="n">
        <v>45888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9032-2023</t>
        </is>
      </c>
      <c r="B35" s="1" t="n">
        <v>44979</v>
      </c>
      <c r="C35" s="1" t="n">
        <v>45888</v>
      </c>
      <c r="D35" t="inlineStr">
        <is>
          <t>STOCKHOLMS LÄN</t>
        </is>
      </c>
      <c r="E35" t="inlineStr">
        <is>
          <t>BOTKYRKA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6059-2022</t>
        </is>
      </c>
      <c r="B36" s="1" t="n">
        <v>44599</v>
      </c>
      <c r="C36" s="1" t="n">
        <v>45888</v>
      </c>
      <c r="D36" t="inlineStr">
        <is>
          <t>STOCKHOLMS LÄN</t>
        </is>
      </c>
      <c r="E36" t="inlineStr">
        <is>
          <t>BOTKYRKA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15690-2023</t>
        </is>
      </c>
      <c r="B37" s="1" t="n">
        <v>45020</v>
      </c>
      <c r="C37" s="1" t="n">
        <v>45888</v>
      </c>
      <c r="D37" t="inlineStr">
        <is>
          <t>STOCKHOLMS LÄN</t>
        </is>
      </c>
      <c r="E37" t="inlineStr">
        <is>
          <t>BOTKYRKA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45888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10815-2021</t>
        </is>
      </c>
      <c r="B39" s="1" t="n">
        <v>44259</v>
      </c>
      <c r="C39" s="1" t="n">
        <v>45888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14217-2025</t>
        </is>
      </c>
      <c r="B40" s="1" t="n">
        <v>45740.58534722222</v>
      </c>
      <c r="C40" s="1" t="n">
        <v>45888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73155-2021</t>
        </is>
      </c>
      <c r="B41" s="1" t="n">
        <v>44550</v>
      </c>
      <c r="C41" s="1" t="n">
        <v>45888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45888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45888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45888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45888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54002-2020</t>
        </is>
      </c>
      <c r="B46" s="1" t="n">
        <v>44125</v>
      </c>
      <c r="C46" s="1" t="n">
        <v>45888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16142-2024</t>
        </is>
      </c>
      <c r="B47" s="1" t="n">
        <v>45406</v>
      </c>
      <c r="C47" s="1" t="n">
        <v>45888</v>
      </c>
      <c r="D47" t="inlineStr">
        <is>
          <t>STOCKHOLMS LÄN</t>
        </is>
      </c>
      <c r="E47" t="inlineStr">
        <is>
          <t>BOTKYRKA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53979-2020</t>
        </is>
      </c>
      <c r="B48" s="1" t="n">
        <v>44125</v>
      </c>
      <c r="C48" s="1" t="n">
        <v>45888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15905-2022</t>
        </is>
      </c>
      <c r="B49" s="1" t="n">
        <v>44664</v>
      </c>
      <c r="C49" s="1" t="n">
        <v>45888</v>
      </c>
      <c r="D49" t="inlineStr">
        <is>
          <t>STOCKHOLMS LÄN</t>
        </is>
      </c>
      <c r="E49" t="inlineStr">
        <is>
          <t>BOTKYRKA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48656-2022</t>
        </is>
      </c>
      <c r="B50" s="1" t="n">
        <v>44859.43993055556</v>
      </c>
      <c r="C50" s="1" t="n">
        <v>45888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16483-2023</t>
        </is>
      </c>
      <c r="B51" s="1" t="n">
        <v>45029</v>
      </c>
      <c r="C51" s="1" t="n">
        <v>45888</v>
      </c>
      <c r="D51" t="inlineStr">
        <is>
          <t>STOCKHOLMS LÄN</t>
        </is>
      </c>
      <c r="E51" t="inlineStr">
        <is>
          <t>BOTKYRKA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38194-2022</t>
        </is>
      </c>
      <c r="B52" s="1" t="n">
        <v>44812</v>
      </c>
      <c r="C52" s="1" t="n">
        <v>45888</v>
      </c>
      <c r="D52" t="inlineStr">
        <is>
          <t>STOCKHOLMS LÄN</t>
        </is>
      </c>
      <c r="E52" t="inlineStr">
        <is>
          <t>BOTKYRKA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11876-2024</t>
        </is>
      </c>
      <c r="B53" s="1" t="n">
        <v>45376.47072916666</v>
      </c>
      <c r="C53" s="1" t="n">
        <v>45888</v>
      </c>
      <c r="D53" t="inlineStr">
        <is>
          <t>STOCKHOLMS LÄN</t>
        </is>
      </c>
      <c r="E53" t="inlineStr">
        <is>
          <t>BOTKYRKA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11867-2024</t>
        </is>
      </c>
      <c r="B54" s="1" t="n">
        <v>45376.45421296296</v>
      </c>
      <c r="C54" s="1" t="n">
        <v>45888</v>
      </c>
      <c r="D54" t="inlineStr">
        <is>
          <t>STOCKHOLMS LÄN</t>
        </is>
      </c>
      <c r="E54" t="inlineStr">
        <is>
          <t>BOTKYRKA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16149-2024</t>
        </is>
      </c>
      <c r="B55" s="1" t="n">
        <v>45406.56984953704</v>
      </c>
      <c r="C55" s="1" t="n">
        <v>45888</v>
      </c>
      <c r="D55" t="inlineStr">
        <is>
          <t>STOCKHOLMS LÄN</t>
        </is>
      </c>
      <c r="E55" t="inlineStr">
        <is>
          <t>BOTKYRKA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3726-2022</t>
        </is>
      </c>
      <c r="B56" s="1" t="n">
        <v>44586</v>
      </c>
      <c r="C56" s="1" t="n">
        <v>45888</v>
      </c>
      <c r="D56" t="inlineStr">
        <is>
          <t>STOCKHOLMS LÄN</t>
        </is>
      </c>
      <c r="E56" t="inlineStr">
        <is>
          <t>BOTKYRKA</t>
        </is>
      </c>
      <c r="G56" t="n">
        <v>17.1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28983-2024</t>
        </is>
      </c>
      <c r="B57" s="1" t="n">
        <v>45481.47731481482</v>
      </c>
      <c r="C57" s="1" t="n">
        <v>45888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61225-2022</t>
        </is>
      </c>
      <c r="B58" s="1" t="n">
        <v>44915</v>
      </c>
      <c r="C58" s="1" t="n">
        <v>45888</v>
      </c>
      <c r="D58" t="inlineStr">
        <is>
          <t>STOCKHOLMS LÄN</t>
        </is>
      </c>
      <c r="E58" t="inlineStr">
        <is>
          <t>BOTKYRKA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55200-2020</t>
        </is>
      </c>
      <c r="B59" s="1" t="n">
        <v>44130</v>
      </c>
      <c r="C59" s="1" t="n">
        <v>45888</v>
      </c>
      <c r="D59" t="inlineStr">
        <is>
          <t>STOCKHOLMS LÄN</t>
        </is>
      </c>
      <c r="E59" t="inlineStr">
        <is>
          <t>BOTKYRKA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57809-2020</t>
        </is>
      </c>
      <c r="B60" s="1" t="n">
        <v>44141</v>
      </c>
      <c r="C60" s="1" t="n">
        <v>45888</v>
      </c>
      <c r="D60" t="inlineStr">
        <is>
          <t>STOCKHOLMS LÄN</t>
        </is>
      </c>
      <c r="E60" t="inlineStr">
        <is>
          <t>BOTKYRKA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25217-2024</t>
        </is>
      </c>
      <c r="B61" s="1" t="n">
        <v>45462</v>
      </c>
      <c r="C61" s="1" t="n">
        <v>45888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46405-2022</t>
        </is>
      </c>
      <c r="B62" s="1" t="n">
        <v>44846</v>
      </c>
      <c r="C62" s="1" t="n">
        <v>45888</v>
      </c>
      <c r="D62" t="inlineStr">
        <is>
          <t>STOCKHOLMS LÄN</t>
        </is>
      </c>
      <c r="E62" t="inlineStr">
        <is>
          <t>BOTKYRKA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20649-2022</t>
        </is>
      </c>
      <c r="B63" s="1" t="n">
        <v>44700</v>
      </c>
      <c r="C63" s="1" t="n">
        <v>45888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8528-2024</t>
        </is>
      </c>
      <c r="B64" s="1" t="n">
        <v>45355.49099537037</v>
      </c>
      <c r="C64" s="1" t="n">
        <v>45888</v>
      </c>
      <c r="D64" t="inlineStr">
        <is>
          <t>STOCKHOLMS LÄN</t>
        </is>
      </c>
      <c r="E64" t="inlineStr">
        <is>
          <t>BOTKYRKA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45888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45888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45869-2022</t>
        </is>
      </c>
      <c r="B67" s="1" t="n">
        <v>44844</v>
      </c>
      <c r="C67" s="1" t="n">
        <v>45888</v>
      </c>
      <c r="D67" t="inlineStr">
        <is>
          <t>STOCKHOLMS LÄN</t>
        </is>
      </c>
      <c r="E67" t="inlineStr">
        <is>
          <t>BOTKYRKA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44586.57239583333</v>
      </c>
      <c r="C68" s="1" t="n">
        <v>45888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15692-2023</t>
        </is>
      </c>
      <c r="B69" s="1" t="n">
        <v>45020</v>
      </c>
      <c r="C69" s="1" t="n">
        <v>45888</v>
      </c>
      <c r="D69" t="inlineStr">
        <is>
          <t>STOCKHOLMS LÄN</t>
        </is>
      </c>
      <c r="E69" t="inlineStr">
        <is>
          <t>BOTKYRKA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73151-2021</t>
        </is>
      </c>
      <c r="B70" s="1" t="n">
        <v>44550.5162037037</v>
      </c>
      <c r="C70" s="1" t="n">
        <v>45888</v>
      </c>
      <c r="D70" t="inlineStr">
        <is>
          <t>STOCKHOLMS LÄN</t>
        </is>
      </c>
      <c r="E70" t="inlineStr">
        <is>
          <t>BOTKYRKA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36097-2021</t>
        </is>
      </c>
      <c r="B71" s="1" t="n">
        <v>44389</v>
      </c>
      <c r="C71" s="1" t="n">
        <v>45888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16145-2024</t>
        </is>
      </c>
      <c r="B72" s="1" t="n">
        <v>45406.56561342593</v>
      </c>
      <c r="C72" s="1" t="n">
        <v>45888</v>
      </c>
      <c r="D72" t="inlineStr">
        <is>
          <t>STOCKHOLMS LÄN</t>
        </is>
      </c>
      <c r="E72" t="inlineStr">
        <is>
          <t>BOTKYRKA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61514-2022</t>
        </is>
      </c>
      <c r="B73" s="1" t="n">
        <v>44916</v>
      </c>
      <c r="C73" s="1" t="n">
        <v>45888</v>
      </c>
      <c r="D73" t="inlineStr">
        <is>
          <t>STOCKHOLMS LÄN</t>
        </is>
      </c>
      <c r="E73" t="inlineStr">
        <is>
          <t>BOTKYRKA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3021-2025</t>
        </is>
      </c>
      <c r="B74" s="1" t="n">
        <v>45678.57962962963</v>
      </c>
      <c r="C74" s="1" t="n">
        <v>45888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2025-08-19T08:27:36Z</dcterms:created>
  <dcterms:modified xmlns:dcterms="http://purl.org/dc/terms/" xmlns:xsi="http://www.w3.org/2001/XMLSchema-instance" xsi:type="dcterms:W3CDTF">2025-08-19T08:27:36Z</dcterms:modified>
</cp:coreProperties>
</file>