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46128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46128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46128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46128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46128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46128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46128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46128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Bårdlav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46128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46128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46128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46128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46128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46128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46128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46128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12305-2026</t>
        </is>
      </c>
      <c r="B23" s="1" t="n">
        <v>46087.57827546296</v>
      </c>
      <c r="C23" s="1" t="n">
        <v>46128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HYPERLINK("https://klasma.github.io/Logging_0127/artfynd/A 12305-2026 artfynd.xlsx", "A 12305-2026")</f>
        <v/>
      </c>
      <c r="T23">
        <f>HYPERLINK("https://klasma.github.io/Logging_0127/kartor/A 12305-2026 karta.png", "A 12305-2026")</f>
        <v/>
      </c>
      <c r="V23">
        <f>HYPERLINK("https://klasma.github.io/Logging_0127/klagomål/A 12305-2026 FSC-klagomål.docx", "A 12305-2026")</f>
        <v/>
      </c>
      <c r="W23">
        <f>HYPERLINK("https://klasma.github.io/Logging_0127/klagomålsmail/A 12305-2026 FSC-klagomål mail.docx", "A 12305-2026")</f>
        <v/>
      </c>
      <c r="X23">
        <f>HYPERLINK("https://klasma.github.io/Logging_0127/tillsyn/A 12305-2026 tillsynsbegäran.docx", "A 12305-2026")</f>
        <v/>
      </c>
      <c r="Y23">
        <f>HYPERLINK("https://klasma.github.io/Logging_0127/tillsynsmail/A 12305-2026 tillsynsbegäran mail.docx", "A 12305-2026")</f>
        <v/>
      </c>
      <c r="Z23">
        <f>HYPERLINK("https://klasma.github.io/Logging_0127/fåglar/A 12305-2026 prioriterade fågelarter.docx", "A 12305-2026")</f>
        <v/>
      </c>
    </row>
    <row r="24" ht="15" customHeight="1">
      <c r="A24" t="inlineStr">
        <is>
          <t>A 12842-2026</t>
        </is>
      </c>
      <c r="B24" s="1" t="n">
        <v>46092.44197916667</v>
      </c>
      <c r="C24" s="1" t="n">
        <v>46128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HYPERLINK("https://klasma.github.io/Logging_0127/artfynd/A 12842-2026 artfynd.xlsx", "A 12842-2026")</f>
        <v/>
      </c>
      <c r="T24">
        <f>HYPERLINK("https://klasma.github.io/Logging_0127/kartor/A 12842-2026 karta.png", "A 12842-2026")</f>
        <v/>
      </c>
      <c r="V24">
        <f>HYPERLINK("https://klasma.github.io/Logging_0127/klagomål/A 12842-2026 FSC-klagomål.docx", "A 12842-2026")</f>
        <v/>
      </c>
      <c r="W24">
        <f>HYPERLINK("https://klasma.github.io/Logging_0127/klagomålsmail/A 12842-2026 FSC-klagomål mail.docx", "A 12842-2026")</f>
        <v/>
      </c>
      <c r="X24">
        <f>HYPERLINK("https://klasma.github.io/Logging_0127/tillsyn/A 12842-2026 tillsynsbegäran.docx", "A 12842-2026")</f>
        <v/>
      </c>
      <c r="Y24">
        <f>HYPERLINK("https://klasma.github.io/Logging_0127/tillsynsmail/A 12842-2026 tillsynsbegäran mail.docx", "A 12842-2026")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46128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46128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46128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46128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46128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46128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46128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46128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61514-2022</t>
        </is>
      </c>
      <c r="B33" s="1" t="n">
        <v>44916</v>
      </c>
      <c r="C33" s="1" t="n">
        <v>46128</v>
      </c>
      <c r="D33" t="inlineStr">
        <is>
          <t>STOCKHOLMS LÄN</t>
        </is>
      </c>
      <c r="E33" t="inlineStr">
        <is>
          <t>BOTKYRKA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20210-2021</t>
        </is>
      </c>
      <c r="B34" s="1" t="n">
        <v>44314</v>
      </c>
      <c r="C34" s="1" t="n">
        <v>46128</v>
      </c>
      <c r="D34" t="inlineStr">
        <is>
          <t>STOCKHOLMS LÄN</t>
        </is>
      </c>
      <c r="E34" t="inlineStr">
        <is>
          <t>BOTKYRKA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73772-2021</t>
        </is>
      </c>
      <c r="B35" s="1" t="n">
        <v>44552</v>
      </c>
      <c r="C35" s="1" t="n">
        <v>46128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46128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15692-2023</t>
        </is>
      </c>
      <c r="B37" s="1" t="n">
        <v>45020</v>
      </c>
      <c r="C37" s="1" t="n">
        <v>46128</v>
      </c>
      <c r="D37" t="inlineStr">
        <is>
          <t>STOCKHOLMS LÄN</t>
        </is>
      </c>
      <c r="E37" t="inlineStr">
        <is>
          <t>BOTKYRKA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52035-2021</t>
        </is>
      </c>
      <c r="B38" s="1" t="n">
        <v>44463</v>
      </c>
      <c r="C38" s="1" t="n">
        <v>46128</v>
      </c>
      <c r="D38" t="inlineStr">
        <is>
          <t>STOCKHOLMS LÄN</t>
        </is>
      </c>
      <c r="E38" t="inlineStr">
        <is>
          <t>BOTKYRKA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30622-2024</t>
        </is>
      </c>
      <c r="B39" s="1" t="n">
        <v>45495</v>
      </c>
      <c r="C39" s="1" t="n">
        <v>46128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46128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30925-2023</t>
        </is>
      </c>
      <c r="B41" s="1" t="n">
        <v>45113</v>
      </c>
      <c r="C41" s="1" t="n">
        <v>46128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14202-2025</t>
        </is>
      </c>
      <c r="B42" s="1" t="n">
        <v>45740.57461805556</v>
      </c>
      <c r="C42" s="1" t="n">
        <v>46128</v>
      </c>
      <c r="D42" t="inlineStr">
        <is>
          <t>STOCKHOLMS LÄN</t>
        </is>
      </c>
      <c r="E42" t="inlineStr">
        <is>
          <t>BOTKYRKA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45869-2022</t>
        </is>
      </c>
      <c r="B43" s="1" t="n">
        <v>44844</v>
      </c>
      <c r="C43" s="1" t="n">
        <v>46128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46128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44859.43993055556</v>
      </c>
      <c r="C45" s="1" t="n">
        <v>46128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21285-2023</t>
        </is>
      </c>
      <c r="B46" s="1" t="n">
        <v>45062</v>
      </c>
      <c r="C46" s="1" t="n">
        <v>46128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61242-2022</t>
        </is>
      </c>
      <c r="B47" s="1" t="n">
        <v>44915</v>
      </c>
      <c r="C47" s="1" t="n">
        <v>46128</v>
      </c>
      <c r="D47" t="inlineStr">
        <is>
          <t>STOCKHOLMS LÄN</t>
        </is>
      </c>
      <c r="E47" t="inlineStr">
        <is>
          <t>BOTKYRKA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16149-2024</t>
        </is>
      </c>
      <c r="B48" s="1" t="n">
        <v>45406.56984953704</v>
      </c>
      <c r="C48" s="1" t="n">
        <v>46128</v>
      </c>
      <c r="D48" t="inlineStr">
        <is>
          <t>STOCKHOLMS LÄN</t>
        </is>
      </c>
      <c r="E48" t="inlineStr">
        <is>
          <t>BOTKYRKA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16145-2024</t>
        </is>
      </c>
      <c r="B49" s="1" t="n">
        <v>45406.56561342593</v>
      </c>
      <c r="C49" s="1" t="n">
        <v>46128</v>
      </c>
      <c r="D49" t="inlineStr">
        <is>
          <t>STOCKHOLMS LÄN</t>
        </is>
      </c>
      <c r="E49" t="inlineStr">
        <is>
          <t>BOTKYRKA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46128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11876-2024</t>
        </is>
      </c>
      <c r="B51" s="1" t="n">
        <v>45376.47072916666</v>
      </c>
      <c r="C51" s="1" t="n">
        <v>46128</v>
      </c>
      <c r="D51" t="inlineStr">
        <is>
          <t>STOCKHOLMS LÄN</t>
        </is>
      </c>
      <c r="E51" t="inlineStr">
        <is>
          <t>BOTKYRKA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46128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16142-2024</t>
        </is>
      </c>
      <c r="B53" s="1" t="n">
        <v>45406</v>
      </c>
      <c r="C53" s="1" t="n">
        <v>46128</v>
      </c>
      <c r="D53" t="inlineStr">
        <is>
          <t>STOCKHOLMS LÄN</t>
        </is>
      </c>
      <c r="E53" t="inlineStr">
        <is>
          <t>BOTKYRKA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46405-2022</t>
        </is>
      </c>
      <c r="B54" s="1" t="n">
        <v>44846</v>
      </c>
      <c r="C54" s="1" t="n">
        <v>46128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45945-2025</t>
        </is>
      </c>
      <c r="B55" s="1" t="n">
        <v>45924</v>
      </c>
      <c r="C55" s="1" t="n">
        <v>46128</v>
      </c>
      <c r="D55" t="inlineStr">
        <is>
          <t>STOCKHOLMS LÄN</t>
        </is>
      </c>
      <c r="E55" t="inlineStr">
        <is>
          <t>BOTKYRKA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46128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46128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46128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46128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49175-2025</t>
        </is>
      </c>
      <c r="B60" s="1" t="n">
        <v>45938.3790162037</v>
      </c>
      <c r="C60" s="1" t="n">
        <v>46128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50474-2025</t>
        </is>
      </c>
      <c r="B61" s="1" t="n">
        <v>45945.36526620371</v>
      </c>
      <c r="C61" s="1" t="n">
        <v>46128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38194-2022</t>
        </is>
      </c>
      <c r="B62" s="1" t="n">
        <v>44812</v>
      </c>
      <c r="C62" s="1" t="n">
        <v>46128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15690-2023</t>
        </is>
      </c>
      <c r="B63" s="1" t="n">
        <v>45020</v>
      </c>
      <c r="C63" s="1" t="n">
        <v>46128</v>
      </c>
      <c r="D63" t="inlineStr">
        <is>
          <t>STOCKHOLMS LÄN</t>
        </is>
      </c>
      <c r="E63" t="inlineStr">
        <is>
          <t>BOTKYRKA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54468-2025</t>
        </is>
      </c>
      <c r="B64" s="1" t="n">
        <v>45965</v>
      </c>
      <c r="C64" s="1" t="n">
        <v>46128</v>
      </c>
      <c r="D64" t="inlineStr">
        <is>
          <t>STOCKHOLMS LÄN</t>
        </is>
      </c>
      <c r="E64" t="inlineStr">
        <is>
          <t>BOTKYRKA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46128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28983-2024</t>
        </is>
      </c>
      <c r="B66" s="1" t="n">
        <v>45481.47731481482</v>
      </c>
      <c r="C66" s="1" t="n">
        <v>46128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46128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46128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8528-2024</t>
        </is>
      </c>
      <c r="B69" s="1" t="n">
        <v>45355.49099537037</v>
      </c>
      <c r="C69" s="1" t="n">
        <v>46128</v>
      </c>
      <c r="D69" t="inlineStr">
        <is>
          <t>STOCKHOLMS LÄN</t>
        </is>
      </c>
      <c r="E69" t="inlineStr">
        <is>
          <t>BOTKYRKA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46128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73155-2021</t>
        </is>
      </c>
      <c r="B71" s="1" t="n">
        <v>44550</v>
      </c>
      <c r="C71" s="1" t="n">
        <v>46128</v>
      </c>
      <c r="D71" t="inlineStr">
        <is>
          <t>STOCKHOLMS LÄN</t>
        </is>
      </c>
      <c r="E71" t="inlineStr">
        <is>
          <t>BOTKYRKA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46128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9032-2023</t>
        </is>
      </c>
      <c r="B73" s="1" t="n">
        <v>44979</v>
      </c>
      <c r="C73" s="1" t="n">
        <v>46128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30378-2024</t>
        </is>
      </c>
      <c r="B74" s="1" t="n">
        <v>45491</v>
      </c>
      <c r="C74" s="1" t="n">
        <v>46128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12306-2026</t>
        </is>
      </c>
      <c r="B75" s="1" t="n">
        <v>46087.57949074074</v>
      </c>
      <c r="C75" s="1" t="n">
        <v>46128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12294-2026</t>
        </is>
      </c>
      <c r="B76" s="1" t="n">
        <v>46087.55737268519</v>
      </c>
      <c r="C76" s="1" t="n">
        <v>46128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15905-2022</t>
        </is>
      </c>
      <c r="B77" s="1" t="n">
        <v>44664</v>
      </c>
      <c r="C77" s="1" t="n">
        <v>46128</v>
      </c>
      <c r="D77" t="inlineStr">
        <is>
          <t>STOCKHOLMS LÄN</t>
        </is>
      </c>
      <c r="E77" t="inlineStr">
        <is>
          <t>BOTKYRKA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25217-2024</t>
        </is>
      </c>
      <c r="B78" s="1" t="n">
        <v>45462</v>
      </c>
      <c r="C78" s="1" t="n">
        <v>46128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16483-2023</t>
        </is>
      </c>
      <c r="B79" s="1" t="n">
        <v>45029</v>
      </c>
      <c r="C79" s="1" t="n">
        <v>46128</v>
      </c>
      <c r="D79" t="inlineStr">
        <is>
          <t>STOCKHOLMS LÄN</t>
        </is>
      </c>
      <c r="E79" t="inlineStr">
        <is>
          <t>BOTKYRKA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2026-04-16T10:23:32Z</dcterms:created>
  <dcterms:modified xmlns:dcterms="http://purl.org/dc/terms/" xmlns:xsi="http://www.w3.org/2001/XMLSchema-instance" xsi:type="dcterms:W3CDTF">2026-04-16T10:23:32Z</dcterms:modified>
</cp:coreProperties>
</file>