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45937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45937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45937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53981-2020</t>
        </is>
      </c>
      <c r="B7" s="1" t="n">
        <v>44125</v>
      </c>
      <c r="C7" s="1" t="n">
        <v>45937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6.3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Mindre vattensalamander
Vanlig groda
Vanlig padda</t>
        </is>
      </c>
      <c r="S7">
        <f>HYPERLINK("https://klasma.github.io/Logging_0127/artfynd/A 53981-2020 artfynd.xlsx", "A 53981-2020")</f>
        <v/>
      </c>
      <c r="T7">
        <f>HYPERLINK("https://klasma.github.io/Logging_0127/kartor/A 53981-2020 karta.png", "A 53981-2020")</f>
        <v/>
      </c>
      <c r="V7">
        <f>HYPERLINK("https://klasma.github.io/Logging_0127/klagomål/A 53981-2020 FSC-klagomål.docx", "A 53981-2020")</f>
        <v/>
      </c>
      <c r="W7">
        <f>HYPERLINK("https://klasma.github.io/Logging_0127/klagomålsmail/A 53981-2020 FSC-klagomål mail.docx", "A 53981-2020")</f>
        <v/>
      </c>
      <c r="X7">
        <f>HYPERLINK("https://klasma.github.io/Logging_0127/tillsyn/A 53981-2020 tillsynsbegäran.docx", "A 53981-2020")</f>
        <v/>
      </c>
      <c r="Y7">
        <f>HYPERLINK("https://klasma.github.io/Logging_0127/tillsynsmail/A 53981-2020 tillsynsbegäran mail.docx", "A 53981-2020")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45937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45937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45937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45937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45937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45937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45937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45937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48514-2025</t>
        </is>
      </c>
      <c r="B16" s="1" t="n">
        <v>45936.3874074074</v>
      </c>
      <c r="C16" s="1" t="n">
        <v>45937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17.1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HYPERLINK("https://klasma.github.io/Logging_0127/artfynd/A 48514-2025 artfynd.xlsx", "A 48514-2025")</f>
        <v/>
      </c>
      <c r="T16">
        <f>HYPERLINK("https://klasma.github.io/Logging_0127/kartor/A 48514-2025 karta.png", "A 48514-2025")</f>
        <v/>
      </c>
      <c r="V16">
        <f>HYPERLINK("https://klasma.github.io/Logging_0127/klagomål/A 48514-2025 FSC-klagomål.docx", "A 48514-2025")</f>
        <v/>
      </c>
      <c r="W16">
        <f>HYPERLINK("https://klasma.github.io/Logging_0127/klagomålsmail/A 48514-2025 FSC-klagomål mail.docx", "A 48514-2025")</f>
        <v/>
      </c>
      <c r="X16">
        <f>HYPERLINK("https://klasma.github.io/Logging_0127/tillsyn/A 48514-2025 tillsynsbegäran.docx", "A 48514-2025")</f>
        <v/>
      </c>
      <c r="Y16">
        <f>HYPERLINK("https://klasma.github.io/Logging_0127/tillsynsmail/A 48514-2025 tillsynsbegäran mail.docx", "A 48514-2025")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45937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45937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45937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27791-2021</t>
        </is>
      </c>
      <c r="B20" s="1" t="n">
        <v>44354</v>
      </c>
      <c r="C20" s="1" t="n">
        <v>45937</v>
      </c>
      <c r="D20" t="inlineStr">
        <is>
          <t>STOCKHOLMS LÄN</t>
        </is>
      </c>
      <c r="E20" t="inlineStr">
        <is>
          <t>BOTKYRKA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45937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45937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45937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45937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45937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45937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45937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45937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45937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32828-2022</t>
        </is>
      </c>
      <c r="B30" s="1" t="n">
        <v>44784</v>
      </c>
      <c r="C30" s="1" t="n">
        <v>45937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45937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43717-2021</t>
        </is>
      </c>
      <c r="B32" s="1" t="n">
        <v>44433.62546296296</v>
      </c>
      <c r="C32" s="1" t="n">
        <v>45937</v>
      </c>
      <c r="D32" t="inlineStr">
        <is>
          <t>STOCKHOLMS LÄN</t>
        </is>
      </c>
      <c r="E32" t="inlineStr">
        <is>
          <t>BOTKYRKA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54002-2020</t>
        </is>
      </c>
      <c r="B33" s="1" t="n">
        <v>44125</v>
      </c>
      <c r="C33" s="1" t="n">
        <v>45937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45937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28983-2024</t>
        </is>
      </c>
      <c r="B35" s="1" t="n">
        <v>45481.47731481482</v>
      </c>
      <c r="C35" s="1" t="n">
        <v>45937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73155-2021</t>
        </is>
      </c>
      <c r="B36" s="1" t="n">
        <v>44550</v>
      </c>
      <c r="C36" s="1" t="n">
        <v>45937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45937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53979-2020</t>
        </is>
      </c>
      <c r="B38" s="1" t="n">
        <v>44125</v>
      </c>
      <c r="C38" s="1" t="n">
        <v>45937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45937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16142-2024</t>
        </is>
      </c>
      <c r="B40" s="1" t="n">
        <v>45406</v>
      </c>
      <c r="C40" s="1" t="n">
        <v>45937</v>
      </c>
      <c r="D40" t="inlineStr">
        <is>
          <t>STOCKHOLMS LÄN</t>
        </is>
      </c>
      <c r="E40" t="inlineStr">
        <is>
          <t>BOTKYRKA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48656-2022</t>
        </is>
      </c>
      <c r="B41" s="1" t="n">
        <v>44859.43993055556</v>
      </c>
      <c r="C41" s="1" t="n">
        <v>45937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45937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16145-2024</t>
        </is>
      </c>
      <c r="B43" s="1" t="n">
        <v>45406.56561342593</v>
      </c>
      <c r="C43" s="1" t="n">
        <v>45937</v>
      </c>
      <c r="D43" t="inlineStr">
        <is>
          <t>STOCKHOLMS LÄN</t>
        </is>
      </c>
      <c r="E43" t="inlineStr">
        <is>
          <t>BOTKYRKA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45937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45937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177-2021</t>
        </is>
      </c>
      <c r="B46" s="1" t="n">
        <v>44200</v>
      </c>
      <c r="C46" s="1" t="n">
        <v>45937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45937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37095-2021</t>
        </is>
      </c>
      <c r="B48" s="1" t="n">
        <v>44395</v>
      </c>
      <c r="C48" s="1" t="n">
        <v>45937</v>
      </c>
      <c r="D48" t="inlineStr">
        <is>
          <t>STOCKHOLMS LÄN</t>
        </is>
      </c>
      <c r="E48" t="inlineStr">
        <is>
          <t>BOTKYRKA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45937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45937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38194-2022</t>
        </is>
      </c>
      <c r="B51" s="1" t="n">
        <v>44812</v>
      </c>
      <c r="C51" s="1" t="n">
        <v>45937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45937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45937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45937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21285-2023</t>
        </is>
      </c>
      <c r="B55" s="1" t="n">
        <v>45062</v>
      </c>
      <c r="C55" s="1" t="n">
        <v>45937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6059-2022</t>
        </is>
      </c>
      <c r="B56" s="1" t="n">
        <v>44599</v>
      </c>
      <c r="C56" s="1" t="n">
        <v>45937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61225-2022</t>
        </is>
      </c>
      <c r="B57" s="1" t="n">
        <v>44915</v>
      </c>
      <c r="C57" s="1" t="n">
        <v>45937</v>
      </c>
      <c r="D57" t="inlineStr">
        <is>
          <t>STOCKHOLMS LÄN</t>
        </is>
      </c>
      <c r="E57" t="inlineStr">
        <is>
          <t>BOTKYRKA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45937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45937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45937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45937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45937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55200-2020</t>
        </is>
      </c>
      <c r="B63" s="1" t="n">
        <v>44130</v>
      </c>
      <c r="C63" s="1" t="n">
        <v>45937</v>
      </c>
      <c r="D63" t="inlineStr">
        <is>
          <t>STOCKHOLMS LÄN</t>
        </is>
      </c>
      <c r="E63" t="inlineStr">
        <is>
          <t>BOTKYRKA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45937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57809-2020</t>
        </is>
      </c>
      <c r="B65" s="1" t="n">
        <v>44141</v>
      </c>
      <c r="C65" s="1" t="n">
        <v>45937</v>
      </c>
      <c r="D65" t="inlineStr">
        <is>
          <t>STOCKHOLMS LÄN</t>
        </is>
      </c>
      <c r="E65" t="inlineStr">
        <is>
          <t>BOTKYRKA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58517-2020</t>
        </is>
      </c>
      <c r="B66" s="1" t="n">
        <v>44145</v>
      </c>
      <c r="C66" s="1" t="n">
        <v>45937</v>
      </c>
      <c r="D66" t="inlineStr">
        <is>
          <t>STOCKHOLMS LÄN</t>
        </is>
      </c>
      <c r="E66" t="inlineStr">
        <is>
          <t>BOTKYRKA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45937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45937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45937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45937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45937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45937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45937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45937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45937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45937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14217-2025</t>
        </is>
      </c>
      <c r="B77" s="1" t="n">
        <v>45740.58534722222</v>
      </c>
      <c r="C77" s="1" t="n">
        <v>45937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2025-10-07T12:30:54Z</dcterms:created>
  <dcterms:modified xmlns:dcterms="http://purl.org/dc/terms/" xmlns:xsi="http://www.w3.org/2001/XMLSchema-instance" xsi:type="dcterms:W3CDTF">2025-10-07T12:30:54Z</dcterms:modified>
</cp:coreProperties>
</file>