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46308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46308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46308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46308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46308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46308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46308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46308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46308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46308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46308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46308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46308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46308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18100-2022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46308</v>
      </c>
      <c r="F16" t="inlineStr">
        <is>
          <t>STOCKHOLMS LÄN</t>
        </is>
      </c>
      <c r="G16" t="inlineStr">
        <is>
          <t>BOTKYRKA</t>
        </is>
      </c>
      <c r="I16" t="n">
        <v>3.1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Svart trolldruva
Gullviva</t>
        </is>
      </c>
      <c r="W16">
        <f>HYPERLINK("https://klasma.github.io/Logging_0127/artfynd/A 18100-2022 artfynd.xlsx", "A 18100-2022")</f>
        <v/>
      </c>
      <c r="X16">
        <f>HYPERLINK("https://klasma.github.io/Logging_0127/kartor/A 18100-2022 karta.png", "A 18100-2022")</f>
        <v/>
      </c>
      <c r="Y16">
        <f>HYPERLINK("https://klasma.github.io/Logging_0127/kartor_geotiff/A 18100-2022 georefererad karta.tif", "A 18100-2022")</f>
        <v/>
      </c>
      <c r="AA16">
        <f>HYPERLINK("https://klasma.github.io/Logging_0127/klagomål/A 18100-2022 FSC-klagomål.docx", "A 18100-2022")</f>
        <v/>
      </c>
      <c r="AB16">
        <f>HYPERLINK("https://klasma.github.io/Logging_0127/klagomålsmail/A 18100-2022 FSC-klagomål mail.docx", "A 18100-2022")</f>
        <v/>
      </c>
      <c r="AC16">
        <f>HYPERLINK("https://klasma.github.io/Logging_0127/tillsyn/A 18100-2022 tillsynsbegäran.docx", "A 18100-2022")</f>
        <v/>
      </c>
      <c r="AD16">
        <f>HYPERLINK("https://klasma.github.io/Logging_0127/tillsynsmail/A 18100-2022 tillsynsbegäran mail.docx", "A 18100-2022")</f>
        <v/>
      </c>
    </row>
    <row r="17" ht="15" customHeight="1">
      <c r="A17" t="inlineStr">
        <is>
          <t>A 24799-2026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46308</v>
      </c>
      <c r="F17" t="inlineStr">
        <is>
          <t>STOCKHOLMS LÄN</t>
        </is>
      </c>
      <c r="G17" t="inlineStr">
        <is>
          <t>BOTKYRKA</t>
        </is>
      </c>
      <c r="I17" t="n">
        <v>1.7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Mindre märgborre
Spillkråka</t>
        </is>
      </c>
      <c r="W17">
        <f>HYPERLINK("https://klasma.github.io/Logging_0127/artfynd/A 24799-2026 artfynd.xlsx", "A 24799-2026")</f>
        <v/>
      </c>
      <c r="X17">
        <f>HYPERLINK("https://klasma.github.io/Logging_0127/kartor/A 24799-2026 karta.png", "A 24799-2026")</f>
        <v/>
      </c>
      <c r="Y17">
        <f>HYPERLINK("https://klasma.github.io/Logging_0127/kartor_geotiff/A 24799-2026 georefererad karta.tif", "A 24799-2026")</f>
        <v/>
      </c>
      <c r="AA17">
        <f>HYPERLINK("https://klasma.github.io/Logging_0127/klagomål/A 24799-2026 FSC-klagomål.docx", "A 24799-2026")</f>
        <v/>
      </c>
      <c r="AB17">
        <f>HYPERLINK("https://klasma.github.io/Logging_0127/klagomålsmail/A 24799-2026 FSC-klagomål mail.docx", "A 24799-2026")</f>
        <v/>
      </c>
      <c r="AC17">
        <f>HYPERLINK("https://klasma.github.io/Logging_0127/tillsyn/A 24799-2026 tillsynsbegäran.docx", "A 24799-2026")</f>
        <v/>
      </c>
      <c r="AD17">
        <f>HYPERLINK("https://klasma.github.io/Logging_0127/tillsynsmail/A 24799-2026 tillsynsbegäran mail.docx", "A 24799-2026")</f>
        <v/>
      </c>
      <c r="AE17">
        <f>HYPERLINK("https://klasma.github.io/Logging_0127/fåglar/A 24799-2026 prioriterade fågelarter.docx", "A 24799-2026")</f>
        <v/>
      </c>
    </row>
    <row r="18" ht="15" customHeight="1">
      <c r="A18" t="inlineStr">
        <is>
          <t>A 25319-2026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46176</v>
      </c>
      <c r="E18" s="1" t="n">
        <v>46308</v>
      </c>
      <c r="F18" t="inlineStr">
        <is>
          <t>STOCKHOLMS LÄN</t>
        </is>
      </c>
      <c r="G18" t="inlineStr">
        <is>
          <t>BOTKYRKA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Grovticka
Spillkråka</t>
        </is>
      </c>
      <c r="W18">
        <f>HYPERLINK("https://klasma.github.io/Logging_0127/artfynd/A 25319-2026 artfynd.xlsx", "A 25319-2026")</f>
        <v/>
      </c>
      <c r="X18">
        <f>HYPERLINK("https://klasma.github.io/Logging_0127/kartor/A 25319-2026 karta.png", "A 25319-2026")</f>
        <v/>
      </c>
      <c r="Y18">
        <f>HYPERLINK("https://klasma.github.io/Logging_0127/kartor_geotiff/A 25319-2026 georefererad karta.tif", "A 25319-2026")</f>
        <v/>
      </c>
      <c r="AA18">
        <f>HYPERLINK("https://klasma.github.io/Logging_0127/klagomål/A 25319-2026 FSC-klagomål.docx", "A 25319-2026")</f>
        <v/>
      </c>
      <c r="AB18">
        <f>HYPERLINK("https://klasma.github.io/Logging_0127/klagomålsmail/A 25319-2026 FSC-klagomål mail.docx", "A 25319-2026")</f>
        <v/>
      </c>
      <c r="AC18">
        <f>HYPERLINK("https://klasma.github.io/Logging_0127/tillsyn/A 25319-2026 tillsynsbegäran.docx", "A 25319-2026")</f>
        <v/>
      </c>
      <c r="AD18">
        <f>HYPERLINK("https://klasma.github.io/Logging_0127/tillsynsmail/A 25319-2026 tillsynsbegäran mail.docx", "A 25319-2026")</f>
        <v/>
      </c>
      <c r="AE18">
        <f>HYPERLINK("https://klasma.github.io/Logging_0127/fåglar/A 25319-2026 prioriterade fågelarter.docx", "A 25319-2026")</f>
        <v/>
      </c>
    </row>
    <row r="19" ht="15" customHeight="1">
      <c r="A19" t="inlineStr">
        <is>
          <t>A 25315-2026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46176</v>
      </c>
      <c r="E19" s="1" t="n">
        <v>46308</v>
      </c>
      <c r="F19" t="inlineStr">
        <is>
          <t>STOCKHOLMS LÄN</t>
        </is>
      </c>
      <c r="G19" t="inlineStr">
        <is>
          <t>BOTKYRKA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Tofsmes</t>
        </is>
      </c>
      <c r="W19">
        <f>HYPERLINK("https://klasma.github.io/Logging_0127/artfynd/A 25315-2026 artfynd.xlsx", "A 25315-2026")</f>
        <v/>
      </c>
      <c r="X19">
        <f>HYPERLINK("https://klasma.github.io/Logging_0127/kartor/A 25315-2026 karta.png", "A 25315-2026")</f>
        <v/>
      </c>
      <c r="Y19">
        <f>HYPERLINK("https://klasma.github.io/Logging_0127/kartor_geotiff/A 25315-2026 georefererad karta.tif", "A 25315-2026")</f>
        <v/>
      </c>
      <c r="AA19">
        <f>HYPERLINK("https://klasma.github.io/Logging_0127/klagomål/A 25315-2026 FSC-klagomål.docx", "A 25315-2026")</f>
        <v/>
      </c>
      <c r="AB19">
        <f>HYPERLINK("https://klasma.github.io/Logging_0127/klagomålsmail/A 25315-2026 FSC-klagomål mail.docx", "A 25315-2026")</f>
        <v/>
      </c>
      <c r="AC19">
        <f>HYPERLINK("https://klasma.github.io/Logging_0127/tillsyn/A 25315-2026 tillsynsbegäran.docx", "A 25315-2026")</f>
        <v/>
      </c>
      <c r="AD19">
        <f>HYPERLINK("https://klasma.github.io/Logging_0127/tillsynsmail/A 25315-2026 tillsynsbegäran mail.docx", "A 25315-2026")</f>
        <v/>
      </c>
      <c r="AE19">
        <f>HYPERLINK("https://klasma.github.io/Logging_0127/fåglar/A 25315-2026 prioriterade fågelarter.docx", "A 25315-2026")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46308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30378-2024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45491</v>
      </c>
      <c r="E21" s="1" t="n">
        <v>46308</v>
      </c>
      <c r="F21" t="inlineStr">
        <is>
          <t>STOCKHOLMS LÄN</t>
        </is>
      </c>
      <c r="G21" t="inlineStr">
        <is>
          <t>BOTKYRKA</t>
        </is>
      </c>
      <c r="I21" t="n">
        <v>0.3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tåtelsmygare
Svinrot</t>
        </is>
      </c>
      <c r="W21">
        <f>HYPERLINK("https://klasma.github.io/Logging_0127/artfynd/A 30378-2024 artfynd.xlsx", "A 30378-2024")</f>
        <v/>
      </c>
      <c r="X21">
        <f>HYPERLINK("https://klasma.github.io/Logging_0127/kartor/A 30378-2024 karta.png", "A 30378-2024")</f>
        <v/>
      </c>
      <c r="Y21">
        <f>HYPERLINK("https://klasma.github.io/Logging_0127/kartor_geotiff/A 30378-2024 georefererad karta.tif", "A 30378-2024")</f>
        <v/>
      </c>
      <c r="AA21">
        <f>HYPERLINK("https://klasma.github.io/Logging_0127/klagomål/A 30378-2024 FSC-klagomål.docx", "A 30378-2024")</f>
        <v/>
      </c>
      <c r="AB21">
        <f>HYPERLINK("https://klasma.github.io/Logging_0127/klagomålsmail/A 30378-2024 FSC-klagomål mail.docx", "A 30378-2024")</f>
        <v/>
      </c>
      <c r="AC21">
        <f>HYPERLINK("https://klasma.github.io/Logging_0127/tillsyn/A 30378-2024 tillsynsbegäran.docx", "A 30378-2024")</f>
        <v/>
      </c>
      <c r="AD21">
        <f>HYPERLINK("https://klasma.github.io/Logging_0127/tillsynsmail/A 30378-2024 tillsynsbegäran mail.docx", "A 30378-2024")</f>
        <v/>
      </c>
    </row>
    <row r="22" ht="15" customHeight="1">
      <c r="A22" t="inlineStr">
        <is>
          <t>A 15905-2022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44664</v>
      </c>
      <c r="E22" s="1" t="n">
        <v>46308</v>
      </c>
      <c r="F22" t="inlineStr">
        <is>
          <t>STOCKHOLMS LÄN</t>
        </is>
      </c>
      <c r="G22" t="inlineStr">
        <is>
          <t>BOTKYRKA</t>
        </is>
      </c>
      <c r="I22" t="n">
        <v>11.2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Motaggsvamp
Svartvit taggsvamp</t>
        </is>
      </c>
      <c r="W22">
        <f>HYPERLINK("https://klasma.github.io/Logging_0127/artfynd/A 15905-2022 artfynd.xlsx", "A 15905-2022")</f>
        <v/>
      </c>
      <c r="X22">
        <f>HYPERLINK("https://klasma.github.io/Logging_0127/kartor/A 15905-2022 karta.png", "A 15905-2022")</f>
        <v/>
      </c>
      <c r="Y22">
        <f>HYPERLINK("https://klasma.github.io/Logging_0127/kartor_geotiff/A 15905-2022 georefererad karta.tif", "A 15905-2022")</f>
        <v/>
      </c>
      <c r="AA22">
        <f>HYPERLINK("https://klasma.github.io/Logging_0127/klagomål/A 15905-2022 FSC-klagomål.docx", "A 15905-2022")</f>
        <v/>
      </c>
      <c r="AB22">
        <f>HYPERLINK("https://klasma.github.io/Logging_0127/klagomålsmail/A 15905-2022 FSC-klagomål mail.docx", "A 15905-2022")</f>
        <v/>
      </c>
      <c r="AC22">
        <f>HYPERLINK("https://klasma.github.io/Logging_0127/tillsyn/A 15905-2022 tillsynsbegäran.docx", "A 15905-2022")</f>
        <v/>
      </c>
      <c r="AD22">
        <f>HYPERLINK("https://klasma.github.io/Logging_0127/tillsynsmail/A 15905-2022 tillsynsbegäran mail.docx", "A 15905-2022")</f>
        <v/>
      </c>
    </row>
    <row r="23" ht="15" customHeight="1">
      <c r="A23" t="inlineStr">
        <is>
          <t>A 15690-2023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45020</v>
      </c>
      <c r="E23" s="1" t="n">
        <v>46308</v>
      </c>
      <c r="F23" t="inlineStr">
        <is>
          <t>STOCKHOLMS LÄN</t>
        </is>
      </c>
      <c r="G23" t="inlineStr">
        <is>
          <t>BOTKYRKA</t>
        </is>
      </c>
      <c r="I23" t="n">
        <v>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HYPERLINK("https://klasma.github.io/Logging_0127/artfynd/A 15690-2023 artfynd.xlsx", "A 15690-2023")</f>
        <v/>
      </c>
      <c r="X23">
        <f>HYPERLINK("https://klasma.github.io/Logging_0127/kartor/A 15690-2023 karta.png", "A 15690-2023")</f>
        <v/>
      </c>
      <c r="Y23">
        <f>HYPERLINK("https://klasma.github.io/Logging_0127/kartor_geotiff/A 15690-2023 georefererad karta.tif", "A 15690-2023")</f>
        <v/>
      </c>
      <c r="AA23">
        <f>HYPERLINK("https://klasma.github.io/Logging_0127/klagomål/A 15690-2023 FSC-klagomål.docx", "A 15690-2023")</f>
        <v/>
      </c>
      <c r="AB23">
        <f>HYPERLINK("https://klasma.github.io/Logging_0127/klagomålsmail/A 15690-2023 FSC-klagomål mail.docx", "A 15690-2023")</f>
        <v/>
      </c>
      <c r="AC23">
        <f>HYPERLINK("https://klasma.github.io/Logging_0127/tillsyn/A 15690-2023 tillsynsbegäran.docx", "A 15690-2023")</f>
        <v/>
      </c>
      <c r="AD23">
        <f>HYPERLINK("https://klasma.github.io/Logging_0127/tillsynsmail/A 15690-2023 tillsynsbegäran mail.docx", "A 15690-2023")</f>
        <v/>
      </c>
    </row>
    <row r="24" ht="15" customHeight="1">
      <c r="A24" t="inlineStr">
        <is>
          <t>A 12305-2026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46087</v>
      </c>
      <c r="E24" s="1" t="n">
        <v>46308</v>
      </c>
      <c r="F24" t="inlineStr">
        <is>
          <t>STOCKHOLMS LÄN</t>
        </is>
      </c>
      <c r="G24" t="inlineStr">
        <is>
          <t>BOTKYRKA</t>
        </is>
      </c>
      <c r="H24" t="inlineStr">
        <is>
          <t>Övriga Aktiebolag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HYPERLINK("https://klasma.github.io/Logging_0127/artfynd/A 12305-2026 artfynd.xlsx", "A 12305-2026")</f>
        <v/>
      </c>
      <c r="X24">
        <f>HYPERLINK("https://klasma.github.io/Logging_0127/kartor/A 12305-2026 karta.png", "A 12305-2026")</f>
        <v/>
      </c>
      <c r="Y24">
        <f>HYPERLINK("https://klasma.github.io/Logging_0127/kartor_geotiff/A 12305-2026 georefererad karta.tif", "A 12305-2026")</f>
        <v/>
      </c>
      <c r="AA24">
        <f>HYPERLINK("https://klasma.github.io/Logging_0127/klagomål/A 12305-2026 FSC-klagomål.docx", "A 12305-2026")</f>
        <v/>
      </c>
      <c r="AB24">
        <f>HYPERLINK("https://klasma.github.io/Logging_0127/klagomålsmail/A 12305-2026 FSC-klagomål mail.docx", "A 12305-2026")</f>
        <v/>
      </c>
      <c r="AC24">
        <f>HYPERLINK("https://klasma.github.io/Logging_0127/tillsyn/A 12305-2026 tillsynsbegäran.docx", "A 12305-2026")</f>
        <v/>
      </c>
      <c r="AD24">
        <f>HYPERLINK("https://klasma.github.io/Logging_0127/tillsynsmail/A 12305-2026 tillsynsbegäran mail.docx", "A 12305-2026")</f>
        <v/>
      </c>
      <c r="AE24">
        <f>HYPERLINK("https://klasma.github.io/Logging_0127/fåglar/A 12305-2026 prioriterade fågelarter.docx", "A 12305-2026")</f>
        <v/>
      </c>
    </row>
    <row r="25" ht="15" customHeight="1">
      <c r="A25" t="inlineStr">
        <is>
          <t>A 12590-2026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46090</v>
      </c>
      <c r="E25" s="1" t="n">
        <v>46308</v>
      </c>
      <c r="F25" t="inlineStr">
        <is>
          <t>STOCKHOLMS LÄN</t>
        </is>
      </c>
      <c r="G25" t="inlineStr">
        <is>
          <t>BOTKYRKA</t>
        </is>
      </c>
      <c r="H25" t="inlineStr">
        <is>
          <t>Övriga Aktiebolag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hackspett</t>
        </is>
      </c>
      <c r="W25">
        <f>HYPERLINK("https://klasma.github.io/Logging_0127/artfynd/A 12590-2026 artfynd.xlsx", "A 12590-2026")</f>
        <v/>
      </c>
      <c r="X25">
        <f>HYPERLINK("https://klasma.github.io/Logging_0127/kartor/A 12590-2026 karta.png", "A 12590-2026")</f>
        <v/>
      </c>
      <c r="Y25">
        <f>HYPERLINK("https://klasma.github.io/Logging_0127/kartor_geotiff/A 12590-2026 georefererad karta.tif", "A 12590-2026")</f>
        <v/>
      </c>
      <c r="AA25">
        <f>HYPERLINK("https://klasma.github.io/Logging_0127/klagomål/A 12590-2026 FSC-klagomål.docx", "A 12590-2026")</f>
        <v/>
      </c>
      <c r="AB25">
        <f>HYPERLINK("https://klasma.github.io/Logging_0127/klagomålsmail/A 12590-2026 FSC-klagomål mail.docx", "A 12590-2026")</f>
        <v/>
      </c>
      <c r="AC25">
        <f>HYPERLINK("https://klasma.github.io/Logging_0127/tillsyn/A 12590-2026 tillsynsbegäran.docx", "A 12590-2026")</f>
        <v/>
      </c>
      <c r="AD25">
        <f>HYPERLINK("https://klasma.github.io/Logging_0127/tillsynsmail/A 12590-2026 tillsynsbegäran mail.docx", "A 12590-2026")</f>
        <v/>
      </c>
      <c r="AE25">
        <f>HYPERLINK("https://klasma.github.io/Logging_0127/fåglar/A 12590-2026 prioriterade fågelarter.docx", "A 12590-2026")</f>
        <v/>
      </c>
    </row>
    <row r="26" ht="15" customHeight="1">
      <c r="A26" t="inlineStr">
        <is>
          <t>A 12842-2026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46092</v>
      </c>
      <c r="E26" s="1" t="n">
        <v>46308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Fyrflikig jordstjärna</t>
        </is>
      </c>
      <c r="W26">
        <f>HYPERLINK("https://klasma.github.io/Logging_0127/artfynd/A 12842-2026 artfynd.xlsx", "A 12842-2026")</f>
        <v/>
      </c>
      <c r="X26">
        <f>HYPERLINK("https://klasma.github.io/Logging_0127/kartor/A 12842-2026 karta.png", "A 12842-2026")</f>
        <v/>
      </c>
      <c r="Y26">
        <f>HYPERLINK("https://klasma.github.io/Logging_0127/kartor_geotiff/A 12842-2026 georefererad karta.tif", "A 12842-2026")</f>
        <v/>
      </c>
      <c r="AA26">
        <f>HYPERLINK("https://klasma.github.io/Logging_0127/klagomål/A 12842-2026 FSC-klagomål.docx", "A 12842-2026")</f>
        <v/>
      </c>
      <c r="AB26">
        <f>HYPERLINK("https://klasma.github.io/Logging_0127/klagomålsmail/A 12842-2026 FSC-klagomål mail.docx", "A 12842-2026")</f>
        <v/>
      </c>
      <c r="AC26">
        <f>HYPERLINK("https://klasma.github.io/Logging_0127/tillsyn/A 12842-2026 tillsynsbegäran.docx", "A 12842-2026")</f>
        <v/>
      </c>
      <c r="AD26">
        <f>HYPERLINK("https://klasma.github.io/Logging_0127/tillsynsmail/A 12842-2026 tillsynsbegäran mail.docx", "A 12842-2026")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46308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46308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46308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46308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46308</v>
      </c>
      <c r="F31" t="inlineStr">
        <is>
          <t>STOCKHOLMS LÄN</t>
        </is>
      </c>
      <c r="G31" t="inlineStr">
        <is>
          <t>BOTKYRKA</t>
        </is>
      </c>
      <c r="I31" t="n">
        <v>1.3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Vanlig groda</t>
        </is>
      </c>
      <c r="W31">
        <f>HYPERLINK("https://klasma.github.io/Logging_0127/artfynd/A 61514-2022 artfynd.xlsx", "A 61514-2022")</f>
        <v/>
      </c>
      <c r="X31">
        <f>HYPERLINK("https://klasma.github.io/Logging_0127/kartor/A 61514-2022 karta.png", "A 61514-2022")</f>
        <v/>
      </c>
      <c r="Y31">
        <f>HYPERLINK("https://klasma.github.io/Logging_0127/kartor_geotiff/A 61514-2022 georefererad karta.tif", "A 61514-2022")</f>
        <v/>
      </c>
      <c r="AA31">
        <f>HYPERLINK("https://klasma.github.io/Logging_0127/klagomål/A 61514-2022 FSC-klagomål.docx", "A 61514-2022")</f>
        <v/>
      </c>
      <c r="AB31">
        <f>HYPERLINK("https://klasma.github.io/Logging_0127/klagomålsmail/A 61514-2022 FSC-klagomål mail.docx", "A 61514-2022")</f>
        <v/>
      </c>
      <c r="AC31">
        <f>HYPERLINK("https://klasma.github.io/Logging_0127/tillsyn/A 61514-2022 tillsynsbegäran.docx", "A 61514-2022")</f>
        <v/>
      </c>
      <c r="AD31">
        <f>HYPERLINK("https://klasma.github.io/Logging_0127/tillsynsmail/A 61514-2022 tillsynsbegäran mail.docx", "A 61514-2022")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46308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46308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46308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46308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46308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46308</v>
      </c>
      <c r="F37" t="inlineStr">
        <is>
          <t>STOCKHOLMS LÄN</t>
        </is>
      </c>
      <c r="G37" t="inlineStr">
        <is>
          <t>BOTKYRKA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45678</v>
      </c>
      <c r="E38" s="1" t="n">
        <v>46308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6059-2022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44599</v>
      </c>
      <c r="E39" s="1" t="n">
        <v>46308</v>
      </c>
      <c r="F39" t="inlineStr">
        <is>
          <t>STOCKHOLMS LÄN</t>
        </is>
      </c>
      <c r="G39" t="inlineStr">
        <is>
          <t>BOTKYRKA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46308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27717-2026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46190</v>
      </c>
      <c r="E41" s="1" t="n">
        <v>46308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46308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54468-2025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45965</v>
      </c>
      <c r="E43" s="1" t="n">
        <v>46308</v>
      </c>
      <c r="F43" t="inlineStr">
        <is>
          <t>STOCKHOLMS LÄN</t>
        </is>
      </c>
      <c r="G43" t="inlineStr">
        <is>
          <t>BOTKYRKA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16142-2024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46308</v>
      </c>
      <c r="F44" t="inlineStr">
        <is>
          <t>STOCKHOLMS LÄN</t>
        </is>
      </c>
      <c r="G44" t="inlineStr">
        <is>
          <t>BOTKYRKA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11876-2024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45376</v>
      </c>
      <c r="E45" s="1" t="n">
        <v>46308</v>
      </c>
      <c r="F45" t="inlineStr">
        <is>
          <t>STOCKHOLMS LÄN</t>
        </is>
      </c>
      <c r="G45" t="inlineStr">
        <is>
          <t>BOTKYRKA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46308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12306-2026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46308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46308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73194-2021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46308</v>
      </c>
      <c r="F49" t="inlineStr">
        <is>
          <t>STOCKHOLMS LÄN</t>
        </is>
      </c>
      <c r="G49" t="inlineStr">
        <is>
          <t>BOTKYRKA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35108-2026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46258</v>
      </c>
      <c r="E50" s="1" t="n">
        <v>46308</v>
      </c>
      <c r="F50" t="inlineStr">
        <is>
          <t>STOCKHOLMS LÄN</t>
        </is>
      </c>
      <c r="G50" t="inlineStr">
        <is>
          <t>BOTKYRKA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16483-2023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45029</v>
      </c>
      <c r="E51" s="1" t="n">
        <v>46308</v>
      </c>
      <c r="F51" t="inlineStr">
        <is>
          <t>STOCKHOLMS LÄN</t>
        </is>
      </c>
      <c r="G51" t="inlineStr">
        <is>
          <t>BOTKYRKA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22391-2026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46154</v>
      </c>
      <c r="E52" s="1" t="n">
        <v>46308</v>
      </c>
      <c r="F52" t="inlineStr">
        <is>
          <t>STOCKHOLMS LÄN</t>
        </is>
      </c>
      <c r="G52" t="inlineStr">
        <is>
          <t>BOTKYRKA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46164</v>
      </c>
      <c r="E53" s="1" t="n">
        <v>46308</v>
      </c>
      <c r="F53" t="inlineStr">
        <is>
          <t>STOCKHOLMS LÄN</t>
        </is>
      </c>
      <c r="G53" t="inlineStr">
        <is>
          <t>BOTKYRKA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46405-2022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44846</v>
      </c>
      <c r="E54" s="1" t="n">
        <v>46308</v>
      </c>
      <c r="F54" t="inlineStr">
        <is>
          <t>STOCKHOLMS LÄN</t>
        </is>
      </c>
      <c r="G54" t="inlineStr">
        <is>
          <t>BOTKYRKA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46308</v>
      </c>
      <c r="F55" t="inlineStr">
        <is>
          <t>STOCKHOLMS LÄN</t>
        </is>
      </c>
      <c r="G55" t="inlineStr">
        <is>
          <t>BOTKYRKA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46308</v>
      </c>
      <c r="F56" t="inlineStr">
        <is>
          <t>STOCKHOLMS LÄN</t>
        </is>
      </c>
      <c r="G56" t="inlineStr">
        <is>
          <t>BOTKYRKA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46308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8528-2024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45355</v>
      </c>
      <c r="E58" s="1" t="n">
        <v>46308</v>
      </c>
      <c r="F58" t="inlineStr">
        <is>
          <t>STOCKHOLMS LÄN</t>
        </is>
      </c>
      <c r="G58" t="inlineStr">
        <is>
          <t>BOTKYRKA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45869-2022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44844</v>
      </c>
      <c r="E59" s="1" t="n">
        <v>46308</v>
      </c>
      <c r="F59" t="inlineStr">
        <is>
          <t>STOCKHOLMS LÄN</t>
        </is>
      </c>
      <c r="G59" t="inlineStr">
        <is>
          <t>BOTKYRKA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46308</v>
      </c>
      <c r="F60" t="inlineStr">
        <is>
          <t>STOCKHOLMS LÄN</t>
        </is>
      </c>
      <c r="G60" t="inlineStr">
        <is>
          <t>BOTKYRKA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45020</v>
      </c>
      <c r="E61" s="1" t="n">
        <v>46308</v>
      </c>
      <c r="F61" t="inlineStr">
        <is>
          <t>STOCKHOLMS LÄN</t>
        </is>
      </c>
      <c r="G61" t="inlineStr">
        <is>
          <t>BOTKYRKA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73151-2021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46308</v>
      </c>
      <c r="F62" t="inlineStr">
        <is>
          <t>STOCKHOLMS LÄN</t>
        </is>
      </c>
      <c r="G62" t="inlineStr">
        <is>
          <t>BOTKYRKA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46308</v>
      </c>
      <c r="F63" t="inlineStr">
        <is>
          <t>STOCKHOLMS LÄN</t>
        </is>
      </c>
      <c r="G63" t="inlineStr">
        <is>
          <t>BOTKYRKA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73155-2021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46308</v>
      </c>
      <c r="F64" t="inlineStr">
        <is>
          <t>STOCKHOLMS LÄN</t>
        </is>
      </c>
      <c r="G64" t="inlineStr">
        <is>
          <t>BOTKYRKA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48656-2022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46308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46308</v>
      </c>
      <c r="F66" t="inlineStr">
        <is>
          <t>STOCKHOLMS LÄN</t>
        </is>
      </c>
      <c r="G66" t="inlineStr">
        <is>
          <t>BOTKYRKA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11867-2024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45376</v>
      </c>
      <c r="E67" s="1" t="n">
        <v>46308</v>
      </c>
      <c r="F67" t="inlineStr">
        <is>
          <t>STOCKHOLMS LÄN</t>
        </is>
      </c>
      <c r="G67" t="inlineStr">
        <is>
          <t>BOTKYRKA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25217-2024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45462</v>
      </c>
      <c r="E68" s="1" t="n">
        <v>46308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30622-2024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45495</v>
      </c>
      <c r="E69" s="1" t="n">
        <v>46308</v>
      </c>
      <c r="F69" t="inlineStr">
        <is>
          <t>STOCKHOLMS LÄN</t>
        </is>
      </c>
      <c r="G69" t="inlineStr">
        <is>
          <t>BOTKYRKA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16145-2024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46308</v>
      </c>
      <c r="F70" t="inlineStr">
        <is>
          <t>STOCKHOLMS LÄN</t>
        </is>
      </c>
      <c r="G70" t="inlineStr">
        <is>
          <t>BOTKYRKA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46308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2026-10-13T01:57:50Z</dcterms:created>
  <dcterms:modified xmlns:dcterms="http://purl.org/dc/terms/" xmlns:xsi="http://www.w3.org/2001/XMLSchema-instance" xsi:type="dcterms:W3CDTF">2026-10-13T01:57:50Z</dcterms:modified>
</cp:coreProperties>
</file>