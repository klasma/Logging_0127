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45294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45294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45294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1335-2020</t>
        </is>
      </c>
      <c r="B5" s="1" t="n">
        <v>43843</v>
      </c>
      <c r="C5" s="1" t="n">
        <v>45294</v>
      </c>
      <c r="D5" t="inlineStr">
        <is>
          <t>STOCKHOLMS LÄN</t>
        </is>
      </c>
      <c r="E5" t="inlineStr">
        <is>
          <t>BOTKYRKA</t>
        </is>
      </c>
      <c r="G5" t="n">
        <v>13.4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Vedspik
Blodticka</t>
        </is>
      </c>
      <c r="S5">
        <f>HYPERLINK("https://klasma.github.io/Logging_0127/artfynd/A 1335-2020 artfynd.xlsx", "A 1335-2020")</f>
        <v/>
      </c>
      <c r="T5">
        <f>HYPERLINK("https://klasma.github.io/Logging_0127/kartor/A 1335-2020 karta.png", "A 1335-2020")</f>
        <v/>
      </c>
      <c r="V5">
        <f>HYPERLINK("https://klasma.github.io/Logging_0127/klagomål/A 1335-2020 FSC-klagomål.docx", "A 1335-2020")</f>
        <v/>
      </c>
      <c r="W5">
        <f>HYPERLINK("https://klasma.github.io/Logging_0127/klagomålsmail/A 1335-2020 FSC-klagomål mail.docx", "A 1335-2020")</f>
        <v/>
      </c>
      <c r="X5">
        <f>HYPERLINK("https://klasma.github.io/Logging_0127/tillsyn/A 1335-2020 tillsynsbegäran.docx", "A 1335-2020")</f>
        <v/>
      </c>
      <c r="Y5">
        <f>HYPERLINK("https://klasma.github.io/Logging_0127/tillsynsmail/A 1335-2020 tillsynsbegäran mail.docx", "A 1335-2020")</f>
        <v/>
      </c>
    </row>
    <row r="6" ht="15" customHeight="1">
      <c r="A6" t="inlineStr">
        <is>
          <t>A 4058-2020</t>
        </is>
      </c>
      <c r="B6" s="1" t="n">
        <v>43857</v>
      </c>
      <c r="C6" s="1" t="n">
        <v>45294</v>
      </c>
      <c r="D6" t="inlineStr">
        <is>
          <t>STOCKHOLMS LÄN</t>
        </is>
      </c>
      <c r="E6" t="inlineStr">
        <is>
          <t>BOTKYRKA</t>
        </is>
      </c>
      <c r="G6" t="n">
        <v>17.9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Ekticka
Springkorn</t>
        </is>
      </c>
      <c r="S6">
        <f>HYPERLINK("https://klasma.github.io/Logging_0127/artfynd/A 4058-2020 artfynd.xlsx", "A 4058-2020")</f>
        <v/>
      </c>
      <c r="T6">
        <f>HYPERLINK("https://klasma.github.io/Logging_0127/kartor/A 4058-2020 karta.png", "A 4058-2020")</f>
        <v/>
      </c>
      <c r="V6">
        <f>HYPERLINK("https://klasma.github.io/Logging_0127/klagomål/A 4058-2020 FSC-klagomål.docx", "A 4058-2020")</f>
        <v/>
      </c>
      <c r="W6">
        <f>HYPERLINK("https://klasma.github.io/Logging_0127/klagomålsmail/A 4058-2020 FSC-klagomål mail.docx", "A 4058-2020")</f>
        <v/>
      </c>
      <c r="X6">
        <f>HYPERLINK("https://klasma.github.io/Logging_0127/tillsyn/A 4058-2020 tillsynsbegäran.docx", "A 4058-2020")</f>
        <v/>
      </c>
      <c r="Y6">
        <f>HYPERLINK("https://klasma.github.io/Logging_0127/tillsynsmail/A 4058-2020 tillsynsbegäran mail.docx", "A 4058-2020")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45294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40444-2023</t>
        </is>
      </c>
      <c r="B8" s="1" t="n">
        <v>45170</v>
      </c>
      <c r="C8" s="1" t="n">
        <v>45294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Kopparödla</t>
        </is>
      </c>
      <c r="S8">
        <f>HYPERLINK("https://klasma.github.io/Logging_0127/artfynd/A 40444-2023 artfynd.xlsx", "A 40444-2023")</f>
        <v/>
      </c>
      <c r="T8">
        <f>HYPERLINK("https://klasma.github.io/Logging_0127/kartor/A 40444-2023 karta.png", "A 40444-2023")</f>
        <v/>
      </c>
      <c r="V8">
        <f>HYPERLINK("https://klasma.github.io/Logging_0127/klagomål/A 40444-2023 FSC-klagomål.docx", "A 40444-2023")</f>
        <v/>
      </c>
      <c r="W8">
        <f>HYPERLINK("https://klasma.github.io/Logging_0127/klagomålsmail/A 40444-2023 FSC-klagomål mail.docx", "A 40444-2023")</f>
        <v/>
      </c>
      <c r="X8">
        <f>HYPERLINK("https://klasma.github.io/Logging_0127/tillsyn/A 40444-2023 tillsynsbegäran.docx", "A 40444-2023")</f>
        <v/>
      </c>
      <c r="Y8">
        <f>HYPERLINK("https://klasma.github.io/Logging_0127/tillsynsmail/A 40444-2023 tillsynsbegäran mail.docx", "A 40444-2023")</f>
        <v/>
      </c>
    </row>
    <row r="9" ht="15" customHeight="1">
      <c r="A9" t="inlineStr">
        <is>
          <t>A 46953-2023</t>
        </is>
      </c>
      <c r="B9" s="1" t="n">
        <v>45195</v>
      </c>
      <c r="C9" s="1" t="n">
        <v>45294</v>
      </c>
      <c r="D9" t="inlineStr">
        <is>
          <t>STOCKHOLMS LÄN</t>
        </is>
      </c>
      <c r="E9" t="inlineStr">
        <is>
          <t>BOTKYRKA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Sotriska</t>
        </is>
      </c>
      <c r="S9">
        <f>HYPERLINK("https://klasma.github.io/Logging_0127/artfynd/A 46953-2023 artfynd.xlsx", "A 46953-2023")</f>
        <v/>
      </c>
      <c r="T9">
        <f>HYPERLINK("https://klasma.github.io/Logging_0127/kartor/A 46953-2023 karta.png", "A 46953-2023")</f>
        <v/>
      </c>
      <c r="V9">
        <f>HYPERLINK("https://klasma.github.io/Logging_0127/klagomål/A 46953-2023 FSC-klagomål.docx", "A 46953-2023")</f>
        <v/>
      </c>
      <c r="W9">
        <f>HYPERLINK("https://klasma.github.io/Logging_0127/klagomålsmail/A 46953-2023 FSC-klagomål mail.docx", "A 46953-2023")</f>
        <v/>
      </c>
      <c r="X9">
        <f>HYPERLINK("https://klasma.github.io/Logging_0127/tillsyn/A 46953-2023 tillsynsbegäran.docx", "A 46953-2023")</f>
        <v/>
      </c>
      <c r="Y9">
        <f>HYPERLINK("https://klasma.github.io/Logging_0127/tillsynsmail/A 46953-2023 tillsynsbegäran mail.docx", "A 46953-2023")</f>
        <v/>
      </c>
    </row>
    <row r="10" ht="15" customHeight="1">
      <c r="A10" t="inlineStr">
        <is>
          <t>A 57725-2018</t>
        </is>
      </c>
      <c r="B10" s="1" t="n">
        <v>43405</v>
      </c>
      <c r="C10" s="1" t="n">
        <v>45294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HYPERLINK("https://klasma.github.io/Logging_0127/artfynd/A 57725-2018 artfynd.xlsx", "A 57725-2018")</f>
        <v/>
      </c>
      <c r="T10">
        <f>HYPERLINK("https://klasma.github.io/Logging_0127/kartor/A 57725-2018 karta.png", "A 57725-2018")</f>
        <v/>
      </c>
      <c r="V10">
        <f>HYPERLINK("https://klasma.github.io/Logging_0127/klagomål/A 57725-2018 FSC-klagomål.docx", "A 57725-2018")</f>
        <v/>
      </c>
      <c r="W10">
        <f>HYPERLINK("https://klasma.github.io/Logging_0127/klagomålsmail/A 57725-2018 FSC-klagomål mail.docx", "A 57725-2018")</f>
        <v/>
      </c>
      <c r="X10">
        <f>HYPERLINK("https://klasma.github.io/Logging_0127/tillsyn/A 57725-2018 tillsynsbegäran.docx", "A 57725-2018")</f>
        <v/>
      </c>
      <c r="Y10">
        <f>HYPERLINK("https://klasma.github.io/Logging_0127/tillsynsmail/A 57725-2018 tillsynsbegäran mail.docx", "A 57725-2018")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45294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45294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45294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45294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45294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45294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45294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59769-2018</t>
        </is>
      </c>
      <c r="B18" s="1" t="n">
        <v>43411</v>
      </c>
      <c r="C18" s="1" t="n">
        <v>45294</v>
      </c>
      <c r="D18" t="inlineStr">
        <is>
          <t>STOCKHOLMS LÄN</t>
        </is>
      </c>
      <c r="E18" t="inlineStr">
        <is>
          <t>BOTKYRKA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60094-2018</t>
        </is>
      </c>
      <c r="B19" s="1" t="n">
        <v>43412</v>
      </c>
      <c r="C19" s="1" t="n">
        <v>45294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59890-2018</t>
        </is>
      </c>
      <c r="B20" s="1" t="n">
        <v>43419</v>
      </c>
      <c r="C20" s="1" t="n">
        <v>45294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66176-2018</t>
        </is>
      </c>
      <c r="B21" s="1" t="n">
        <v>43434</v>
      </c>
      <c r="C21" s="1" t="n">
        <v>45294</v>
      </c>
      <c r="D21" t="inlineStr">
        <is>
          <t>STOCKHOLMS LÄN</t>
        </is>
      </c>
      <c r="E21" t="inlineStr">
        <is>
          <t>BOTKYRKA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68832-2018</t>
        </is>
      </c>
      <c r="B22" s="1" t="n">
        <v>43439</v>
      </c>
      <c r="C22" s="1" t="n">
        <v>45294</v>
      </c>
      <c r="D22" t="inlineStr">
        <is>
          <t>STOCKHOLMS LÄN</t>
        </is>
      </c>
      <c r="E22" t="inlineStr">
        <is>
          <t>BOTKYRKA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8523-2019</t>
        </is>
      </c>
      <c r="B23" s="1" t="n">
        <v>43502</v>
      </c>
      <c r="C23" s="1" t="n">
        <v>45294</v>
      </c>
      <c r="D23" t="inlineStr">
        <is>
          <t>STOCKHOLMS LÄN</t>
        </is>
      </c>
      <c r="E23" t="inlineStr">
        <is>
          <t>BOTKYRKA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40642-2019</t>
        </is>
      </c>
      <c r="B24" s="1" t="n">
        <v>43696</v>
      </c>
      <c r="C24" s="1" t="n">
        <v>45294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45294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45294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45294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2554-2020</t>
        </is>
      </c>
      <c r="B28" s="1" t="n">
        <v>43847</v>
      </c>
      <c r="C28" s="1" t="n">
        <v>45294</v>
      </c>
      <c r="D28" t="inlineStr">
        <is>
          <t>STOCKHOLMS LÄN</t>
        </is>
      </c>
      <c r="E28" t="inlineStr">
        <is>
          <t>BOTKYRKA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5953-2020</t>
        </is>
      </c>
      <c r="B29" s="1" t="n">
        <v>43864</v>
      </c>
      <c r="C29" s="1" t="n">
        <v>45294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10790-2020</t>
        </is>
      </c>
      <c r="B30" s="1" t="n">
        <v>43888</v>
      </c>
      <c r="C30" s="1" t="n">
        <v>45294</v>
      </c>
      <c r="D30" t="inlineStr">
        <is>
          <t>STOCKHOLMS LÄN</t>
        </is>
      </c>
      <c r="E30" t="inlineStr">
        <is>
          <t>BOTKYRKA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10807-2020</t>
        </is>
      </c>
      <c r="B31" s="1" t="n">
        <v>43888</v>
      </c>
      <c r="C31" s="1" t="n">
        <v>45294</v>
      </c>
      <c r="D31" t="inlineStr">
        <is>
          <t>STOCKHOLMS LÄN</t>
        </is>
      </c>
      <c r="E31" t="inlineStr">
        <is>
          <t>BOTKYRKA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12321-2020</t>
        </is>
      </c>
      <c r="B32" s="1" t="n">
        <v>43895</v>
      </c>
      <c r="C32" s="1" t="n">
        <v>45294</v>
      </c>
      <c r="D32" t="inlineStr">
        <is>
          <t>STOCKHOLMS LÄN</t>
        </is>
      </c>
      <c r="E32" t="inlineStr">
        <is>
          <t>BOTKYRKA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12320-2020</t>
        </is>
      </c>
      <c r="B33" s="1" t="n">
        <v>43895</v>
      </c>
      <c r="C33" s="1" t="n">
        <v>45294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12988-2020</t>
        </is>
      </c>
      <c r="B34" s="1" t="n">
        <v>43900</v>
      </c>
      <c r="C34" s="1" t="n">
        <v>45294</v>
      </c>
      <c r="D34" t="inlineStr">
        <is>
          <t>STOCKHOLMS LÄN</t>
        </is>
      </c>
      <c r="E34" t="inlineStr">
        <is>
          <t>BOTKYRKA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16048-2020</t>
        </is>
      </c>
      <c r="B35" s="1" t="n">
        <v>43916</v>
      </c>
      <c r="C35" s="1" t="n">
        <v>45294</v>
      </c>
      <c r="D35" t="inlineStr">
        <is>
          <t>STOCKHOLMS LÄN</t>
        </is>
      </c>
      <c r="E35" t="inlineStr">
        <is>
          <t>BOTKYRKA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21645-2020</t>
        </is>
      </c>
      <c r="B36" s="1" t="n">
        <v>43956</v>
      </c>
      <c r="C36" s="1" t="n">
        <v>45294</v>
      </c>
      <c r="D36" t="inlineStr">
        <is>
          <t>STOCKHOLMS LÄN</t>
        </is>
      </c>
      <c r="E36" t="inlineStr">
        <is>
          <t>BOTKYRKA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23426-2020</t>
        </is>
      </c>
      <c r="B37" s="1" t="n">
        <v>43969</v>
      </c>
      <c r="C37" s="1" t="n">
        <v>45294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33881-2020</t>
        </is>
      </c>
      <c r="B38" s="1" t="n">
        <v>44025</v>
      </c>
      <c r="C38" s="1" t="n">
        <v>45294</v>
      </c>
      <c r="D38" t="inlineStr">
        <is>
          <t>STOCKHOLMS LÄN</t>
        </is>
      </c>
      <c r="E38" t="inlineStr">
        <is>
          <t>BOTKYRKA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39531-2020</t>
        </is>
      </c>
      <c r="B39" s="1" t="n">
        <v>44064</v>
      </c>
      <c r="C39" s="1" t="n">
        <v>45294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54002-2020</t>
        </is>
      </c>
      <c r="B40" s="1" t="n">
        <v>44125</v>
      </c>
      <c r="C40" s="1" t="n">
        <v>45294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53979-2020</t>
        </is>
      </c>
      <c r="B41" s="1" t="n">
        <v>44125</v>
      </c>
      <c r="C41" s="1" t="n">
        <v>45294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55200-2020</t>
        </is>
      </c>
      <c r="B42" s="1" t="n">
        <v>44130</v>
      </c>
      <c r="C42" s="1" t="n">
        <v>45294</v>
      </c>
      <c r="D42" t="inlineStr">
        <is>
          <t>STOCKHOLMS LÄN</t>
        </is>
      </c>
      <c r="E42" t="inlineStr">
        <is>
          <t>BOTKYRKA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57809-2020</t>
        </is>
      </c>
      <c r="B43" s="1" t="n">
        <v>44141</v>
      </c>
      <c r="C43" s="1" t="n">
        <v>45294</v>
      </c>
      <c r="D43" t="inlineStr">
        <is>
          <t>STOCKHOLMS LÄN</t>
        </is>
      </c>
      <c r="E43" t="inlineStr">
        <is>
          <t>BOTKYRKA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58517-2020</t>
        </is>
      </c>
      <c r="B44" s="1" t="n">
        <v>44145</v>
      </c>
      <c r="C44" s="1" t="n">
        <v>45294</v>
      </c>
      <c r="D44" t="inlineStr">
        <is>
          <t>STOCKHOLMS LÄN</t>
        </is>
      </c>
      <c r="E44" t="inlineStr">
        <is>
          <t>BOTKYRKA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58531-2020</t>
        </is>
      </c>
      <c r="B45" s="1" t="n">
        <v>44145</v>
      </c>
      <c r="C45" s="1" t="n">
        <v>45294</v>
      </c>
      <c r="D45" t="inlineStr">
        <is>
          <t>STOCKHOLMS LÄN</t>
        </is>
      </c>
      <c r="E45" t="inlineStr">
        <is>
          <t>BOTKYRKA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177-2021</t>
        </is>
      </c>
      <c r="B46" s="1" t="n">
        <v>44200</v>
      </c>
      <c r="C46" s="1" t="n">
        <v>45294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4281-2021</t>
        </is>
      </c>
      <c r="B47" s="1" t="n">
        <v>44223</v>
      </c>
      <c r="C47" s="1" t="n">
        <v>45294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10808-2021</t>
        </is>
      </c>
      <c r="B48" s="1" t="n">
        <v>44259</v>
      </c>
      <c r="C48" s="1" t="n">
        <v>45294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10817-2021</t>
        </is>
      </c>
      <c r="B49" s="1" t="n">
        <v>44259</v>
      </c>
      <c r="C49" s="1" t="n">
        <v>45294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10815-2021</t>
        </is>
      </c>
      <c r="B50" s="1" t="n">
        <v>44259</v>
      </c>
      <c r="C50" s="1" t="n">
        <v>45294</v>
      </c>
      <c r="D50" t="inlineStr">
        <is>
          <t>STOCKHOLMS LÄN</t>
        </is>
      </c>
      <c r="E50" t="inlineStr">
        <is>
          <t>BOTKYRKA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20210-2021</t>
        </is>
      </c>
      <c r="B51" s="1" t="n">
        <v>44314</v>
      </c>
      <c r="C51" s="1" t="n">
        <v>45294</v>
      </c>
      <c r="D51" t="inlineStr">
        <is>
          <t>STOCKHOLMS LÄN</t>
        </is>
      </c>
      <c r="E51" t="inlineStr">
        <is>
          <t>BOTKYRKA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27791-2021</t>
        </is>
      </c>
      <c r="B52" s="1" t="n">
        <v>44354</v>
      </c>
      <c r="C52" s="1" t="n">
        <v>45294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33016-2021</t>
        </is>
      </c>
      <c r="B53" s="1" t="n">
        <v>44376</v>
      </c>
      <c r="C53" s="1" t="n">
        <v>45294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33015-2021</t>
        </is>
      </c>
      <c r="B54" s="1" t="n">
        <v>44376</v>
      </c>
      <c r="C54" s="1" t="n">
        <v>45294</v>
      </c>
      <c r="D54" t="inlineStr">
        <is>
          <t>STOCKHOLMS LÄN</t>
        </is>
      </c>
      <c r="E54" t="inlineStr">
        <is>
          <t>BOTKYRKA</t>
        </is>
      </c>
      <c r="G54" t="n">
        <v>48.7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35492-2021</t>
        </is>
      </c>
      <c r="B55" s="1" t="n">
        <v>44385</v>
      </c>
      <c r="C55" s="1" t="n">
        <v>45294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36097-2021</t>
        </is>
      </c>
      <c r="B56" s="1" t="n">
        <v>44389</v>
      </c>
      <c r="C56" s="1" t="n">
        <v>45294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37095-2021</t>
        </is>
      </c>
      <c r="B57" s="1" t="n">
        <v>44395</v>
      </c>
      <c r="C57" s="1" t="n">
        <v>45294</v>
      </c>
      <c r="D57" t="inlineStr">
        <is>
          <t>STOCKHOLMS LÄN</t>
        </is>
      </c>
      <c r="E57" t="inlineStr">
        <is>
          <t>BOTKYRKA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43717-2021</t>
        </is>
      </c>
      <c r="B58" s="1" t="n">
        <v>44433</v>
      </c>
      <c r="C58" s="1" t="n">
        <v>45294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52035-2021</t>
        </is>
      </c>
      <c r="B59" s="1" t="n">
        <v>44463</v>
      </c>
      <c r="C59" s="1" t="n">
        <v>45294</v>
      </c>
      <c r="D59" t="inlineStr">
        <is>
          <t>STOCKHOLMS LÄN</t>
        </is>
      </c>
      <c r="E59" t="inlineStr">
        <is>
          <t>BOTKYRKA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56816-2021</t>
        </is>
      </c>
      <c r="B60" s="1" t="n">
        <v>44481</v>
      </c>
      <c r="C60" s="1" t="n">
        <v>45294</v>
      </c>
      <c r="D60" t="inlineStr">
        <is>
          <t>STOCKHOLMS LÄN</t>
        </is>
      </c>
      <c r="E60" t="inlineStr">
        <is>
          <t>BOTKYRKA</t>
        </is>
      </c>
      <c r="G60" t="n">
        <v>10.9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45294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45294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45294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45294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45294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45294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45294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45294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45294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45294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11764-2022</t>
        </is>
      </c>
      <c r="B71" s="1" t="n">
        <v>44634</v>
      </c>
      <c r="C71" s="1" t="n">
        <v>45294</v>
      </c>
      <c r="D71" t="inlineStr">
        <is>
          <t>STOCKHOLMS LÄN</t>
        </is>
      </c>
      <c r="E71" t="inlineStr">
        <is>
          <t>BOTKYRKA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45294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45294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45294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45294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45294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45294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45294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45294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45294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45294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45294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45294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45294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45294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45294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45294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45294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45294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45294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45294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45294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45294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45294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45294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45294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45294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45294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45294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45294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45294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45294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45294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45294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45294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45294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45294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45294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45294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45294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45294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45294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45294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45294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45294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45294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45294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45294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64544-2023</t>
        </is>
      </c>
      <c r="B119" s="1" t="n">
        <v>45281</v>
      </c>
      <c r="C119" s="1" t="n">
        <v>45294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2024-01-03T10:01:14Z</dcterms:created>
  <dcterms:modified xmlns:dcterms="http://purl.org/dc/terms/" xmlns:xsi="http://www.w3.org/2001/XMLSchema-instance" xsi:type="dcterms:W3CDTF">2024-01-03T10:01:14Z</dcterms:modified>
</cp:coreProperties>
</file>