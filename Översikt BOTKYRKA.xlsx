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45900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45900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45900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45900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45900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45900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30055-2025</t>
        </is>
      </c>
      <c r="B8" s="1" t="n">
        <v>45826</v>
      </c>
      <c r="C8" s="1" t="n">
        <v>45900</v>
      </c>
      <c r="D8" t="inlineStr">
        <is>
          <t>STOCKHOLMS LÄN</t>
        </is>
      </c>
      <c r="E8" t="inlineStr">
        <is>
          <t>BOTKYRKA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Klasefibbla
Blåsippa</t>
        </is>
      </c>
      <c r="S8">
        <f>HYPERLINK("https://klasma.github.io/Logging_0127/artfynd/A 30055-2025 artfynd.xlsx", "A 30055-2025")</f>
        <v/>
      </c>
      <c r="T8">
        <f>HYPERLINK("https://klasma.github.io/Logging_0127/kartor/A 30055-2025 karta.png", "A 30055-2025")</f>
        <v/>
      </c>
      <c r="V8">
        <f>HYPERLINK("https://klasma.github.io/Logging_0127/klagomål/A 30055-2025 FSC-klagomål.docx", "A 30055-2025")</f>
        <v/>
      </c>
      <c r="W8">
        <f>HYPERLINK("https://klasma.github.io/Logging_0127/klagomålsmail/A 30055-2025 FSC-klagomål mail.docx", "A 30055-2025")</f>
        <v/>
      </c>
      <c r="X8">
        <f>HYPERLINK("https://klasma.github.io/Logging_0127/tillsyn/A 30055-2025 tillsynsbegäran.docx", "A 30055-2025")</f>
        <v/>
      </c>
      <c r="Y8">
        <f>HYPERLINK("https://klasma.github.io/Logging_0127/tillsynsmail/A 30055-2025 tillsynsbegäran mail.docx", "A 30055-2025")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45900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45900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45900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23829-2023</t>
        </is>
      </c>
      <c r="B12" s="1" t="n">
        <v>45078</v>
      </c>
      <c r="C12" s="1" t="n">
        <v>45900</v>
      </c>
      <c r="D12" t="inlineStr">
        <is>
          <t>STOCKHOLMS LÄN</t>
        </is>
      </c>
      <c r="E12" t="inlineStr">
        <is>
          <t>BOTKYRKA</t>
        </is>
      </c>
      <c r="F12" t="inlineStr">
        <is>
          <t>Kommuner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Fjällig taggsvamp s.str.</t>
        </is>
      </c>
      <c r="S12">
        <f>HYPERLINK("https://klasma.github.io/Logging_0127/artfynd/A 23829-2023 artfynd.xlsx", "A 23829-2023")</f>
        <v/>
      </c>
      <c r="T12">
        <f>HYPERLINK("https://klasma.github.io/Logging_0127/kartor/A 23829-2023 karta.png", "A 23829-2023")</f>
        <v/>
      </c>
      <c r="V12">
        <f>HYPERLINK("https://klasma.github.io/Logging_0127/klagomål/A 23829-2023 FSC-klagomål.docx", "A 23829-2023")</f>
        <v/>
      </c>
      <c r="W12">
        <f>HYPERLINK("https://klasma.github.io/Logging_0127/klagomålsmail/A 23829-2023 FSC-klagomål mail.docx", "A 23829-2023")</f>
        <v/>
      </c>
      <c r="X12">
        <f>HYPERLINK("https://klasma.github.io/Logging_0127/tillsyn/A 23829-2023 tillsynsbegäran.docx", "A 23829-2023")</f>
        <v/>
      </c>
      <c r="Y12">
        <f>HYPERLINK("https://klasma.github.io/Logging_0127/tillsynsmail/A 23829-2023 tillsynsbegäran mail.docx", "A 23829-2023")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45900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45900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45900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45900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45900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45900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45900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45900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45900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35492-2021</t>
        </is>
      </c>
      <c r="B22" s="1" t="n">
        <v>44385</v>
      </c>
      <c r="C22" s="1" t="n">
        <v>45900</v>
      </c>
      <c r="D22" t="inlineStr">
        <is>
          <t>STOCKHOLMS LÄN</t>
        </is>
      </c>
      <c r="E22" t="inlineStr">
        <is>
          <t>BOTKYRKA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45900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45900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45900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45900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45900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45900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45900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45900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16149-2024</t>
        </is>
      </c>
      <c r="B31" s="1" t="n">
        <v>45406.56984953704</v>
      </c>
      <c r="C31" s="1" t="n">
        <v>45900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16145-2024</t>
        </is>
      </c>
      <c r="B32" s="1" t="n">
        <v>45406.56561342593</v>
      </c>
      <c r="C32" s="1" t="n">
        <v>45900</v>
      </c>
      <c r="D32" t="inlineStr">
        <is>
          <t>STOCKHOLMS LÄN</t>
        </is>
      </c>
      <c r="E32" t="inlineStr">
        <is>
          <t>BOTKYRKA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45900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73151-2021</t>
        </is>
      </c>
      <c r="B34" s="1" t="n">
        <v>44550.5162037037</v>
      </c>
      <c r="C34" s="1" t="n">
        <v>45900</v>
      </c>
      <c r="D34" t="inlineStr">
        <is>
          <t>STOCKHOLMS LÄN</t>
        </is>
      </c>
      <c r="E34" t="inlineStr">
        <is>
          <t>BOTKYRKA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73194-2021</t>
        </is>
      </c>
      <c r="B35" s="1" t="n">
        <v>44550.61508101852</v>
      </c>
      <c r="C35" s="1" t="n">
        <v>45900</v>
      </c>
      <c r="D35" t="inlineStr">
        <is>
          <t>STOCKHOLMS LÄN</t>
        </is>
      </c>
      <c r="E35" t="inlineStr">
        <is>
          <t>BOTKYRKA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46405-2022</t>
        </is>
      </c>
      <c r="B36" s="1" t="n">
        <v>44846</v>
      </c>
      <c r="C36" s="1" t="n">
        <v>45900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37095-2021</t>
        </is>
      </c>
      <c r="B37" s="1" t="n">
        <v>44395</v>
      </c>
      <c r="C37" s="1" t="n">
        <v>45900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11876-2024</t>
        </is>
      </c>
      <c r="B38" s="1" t="n">
        <v>45376.47072916666</v>
      </c>
      <c r="C38" s="1" t="n">
        <v>45900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45900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16142-2024</t>
        </is>
      </c>
      <c r="B40" s="1" t="n">
        <v>45406</v>
      </c>
      <c r="C40" s="1" t="n">
        <v>45900</v>
      </c>
      <c r="D40" t="inlineStr">
        <is>
          <t>STOCKHOLMS LÄN</t>
        </is>
      </c>
      <c r="E40" t="inlineStr">
        <is>
          <t>BOTKYRKA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45900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3726-2022</t>
        </is>
      </c>
      <c r="B42" s="1" t="n">
        <v>44586</v>
      </c>
      <c r="C42" s="1" t="n">
        <v>45900</v>
      </c>
      <c r="D42" t="inlineStr">
        <is>
          <t>STOCKHOLMS LÄN</t>
        </is>
      </c>
      <c r="E42" t="inlineStr">
        <is>
          <t>BOTKYRKA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15690-2023</t>
        </is>
      </c>
      <c r="B43" s="1" t="n">
        <v>45020</v>
      </c>
      <c r="C43" s="1" t="n">
        <v>45900</v>
      </c>
      <c r="D43" t="inlineStr">
        <is>
          <t>STOCKHOLMS LÄN</t>
        </is>
      </c>
      <c r="E43" t="inlineStr">
        <is>
          <t>BOTKYRKA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45900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73155-2021</t>
        </is>
      </c>
      <c r="B45" s="1" t="n">
        <v>44550</v>
      </c>
      <c r="C45" s="1" t="n">
        <v>45900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53979-2020</t>
        </is>
      </c>
      <c r="B46" s="1" t="n">
        <v>44125</v>
      </c>
      <c r="C46" s="1" t="n">
        <v>45900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45900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45900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45900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61514-2022</t>
        </is>
      </c>
      <c r="B50" s="1" t="n">
        <v>44916</v>
      </c>
      <c r="C50" s="1" t="n">
        <v>45900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45900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45900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14202-2025</t>
        </is>
      </c>
      <c r="B53" s="1" t="n">
        <v>45740.57461805556</v>
      </c>
      <c r="C53" s="1" t="n">
        <v>45900</v>
      </c>
      <c r="D53" t="inlineStr">
        <is>
          <t>STOCKHOLMS LÄN</t>
        </is>
      </c>
      <c r="E53" t="inlineStr">
        <is>
          <t>BOTKYRKA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20649-2022</t>
        </is>
      </c>
      <c r="B54" s="1" t="n">
        <v>44700</v>
      </c>
      <c r="C54" s="1" t="n">
        <v>45900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6059-2022</t>
        </is>
      </c>
      <c r="B55" s="1" t="n">
        <v>44599</v>
      </c>
      <c r="C55" s="1" t="n">
        <v>45900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45900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8528-2024</t>
        </is>
      </c>
      <c r="B57" s="1" t="n">
        <v>45355.49099537037</v>
      </c>
      <c r="C57" s="1" t="n">
        <v>45900</v>
      </c>
      <c r="D57" t="inlineStr">
        <is>
          <t>STOCKHOLMS LÄN</t>
        </is>
      </c>
      <c r="E57" t="inlineStr">
        <is>
          <t>BOTKYRKA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45900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21285-2023</t>
        </is>
      </c>
      <c r="B59" s="1" t="n">
        <v>45062</v>
      </c>
      <c r="C59" s="1" t="n">
        <v>45900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35197-2024</t>
        </is>
      </c>
      <c r="B60" s="1" t="n">
        <v>45530</v>
      </c>
      <c r="C60" s="1" t="n">
        <v>45900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3021-2025</t>
        </is>
      </c>
      <c r="B61" s="1" t="n">
        <v>45678.57962962963</v>
      </c>
      <c r="C61" s="1" t="n">
        <v>45900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55200-2020</t>
        </is>
      </c>
      <c r="B62" s="1" t="n">
        <v>44130</v>
      </c>
      <c r="C62" s="1" t="n">
        <v>45900</v>
      </c>
      <c r="D62" t="inlineStr">
        <is>
          <t>STOCKHOLMS LÄN</t>
        </is>
      </c>
      <c r="E62" t="inlineStr">
        <is>
          <t>BOTKYRKA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36097-2021</t>
        </is>
      </c>
      <c r="B63" s="1" t="n">
        <v>44389</v>
      </c>
      <c r="C63" s="1" t="n">
        <v>45900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9032-2023</t>
        </is>
      </c>
      <c r="B64" s="1" t="n">
        <v>44979</v>
      </c>
      <c r="C64" s="1" t="n">
        <v>45900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58517-2020</t>
        </is>
      </c>
      <c r="B65" s="1" t="n">
        <v>44145</v>
      </c>
      <c r="C65" s="1" t="n">
        <v>45900</v>
      </c>
      <c r="D65" t="inlineStr">
        <is>
          <t>STOCKHOLMS LÄN</t>
        </is>
      </c>
      <c r="E65" t="inlineStr">
        <is>
          <t>BOTKYRKA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45900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57809-2020</t>
        </is>
      </c>
      <c r="B67" s="1" t="n">
        <v>44141</v>
      </c>
      <c r="C67" s="1" t="n">
        <v>45900</v>
      </c>
      <c r="D67" t="inlineStr">
        <is>
          <t>STOCKHOLMS LÄN</t>
        </is>
      </c>
      <c r="E67" t="inlineStr">
        <is>
          <t>BOTKYRKA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45900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16483-2023</t>
        </is>
      </c>
      <c r="B69" s="1" t="n">
        <v>45029</v>
      </c>
      <c r="C69" s="1" t="n">
        <v>45900</v>
      </c>
      <c r="D69" t="inlineStr">
        <is>
          <t>STOCKHOLMS LÄN</t>
        </is>
      </c>
      <c r="E69" t="inlineStr">
        <is>
          <t>BOTKYRKA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45900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61320-2024</t>
        </is>
      </c>
      <c r="B71" s="1" t="n">
        <v>45646.33262731481</v>
      </c>
      <c r="C71" s="1" t="n">
        <v>45900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30925-2023</t>
        </is>
      </c>
      <c r="B72" s="1" t="n">
        <v>45113</v>
      </c>
      <c r="C72" s="1" t="n">
        <v>45900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45869-2022</t>
        </is>
      </c>
      <c r="B73" s="1" t="n">
        <v>44844</v>
      </c>
      <c r="C73" s="1" t="n">
        <v>45900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14217-2025</t>
        </is>
      </c>
      <c r="B74" s="1" t="n">
        <v>45740.58534722222</v>
      </c>
      <c r="C74" s="1" t="n">
        <v>45900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2025-08-31T08:28:26Z</dcterms:created>
  <dcterms:modified xmlns:dcterms="http://purl.org/dc/terms/" xmlns:xsi="http://www.w3.org/2001/XMLSchema-instance" xsi:type="dcterms:W3CDTF">2025-08-31T08:28:26Z</dcterms:modified>
</cp:coreProperties>
</file>