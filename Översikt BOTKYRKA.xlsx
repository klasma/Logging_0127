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45982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45982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45982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45982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45982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45982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45982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45982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45982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45982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45982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45982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33801-2025</t>
        </is>
      </c>
      <c r="B14" s="1" t="n">
        <v>45842</v>
      </c>
      <c r="C14" s="1" t="n">
        <v>45982</v>
      </c>
      <c r="D14" t="inlineStr">
        <is>
          <t>STOCKHOLMS LÄN</t>
        </is>
      </c>
      <c r="E14" t="inlineStr">
        <is>
          <t>BOTKYRKA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HYPERLINK("https://klasma.github.io/Logging_0127/artfynd/A 33801-2025 artfynd.xlsx", "A 33801-2025")</f>
        <v/>
      </c>
      <c r="T14">
        <f>HYPERLINK("https://klasma.github.io/Logging_0127/kartor/A 33801-2025 karta.png", "A 33801-2025")</f>
        <v/>
      </c>
      <c r="V14">
        <f>HYPERLINK("https://klasma.github.io/Logging_0127/klagomål/A 33801-2025 FSC-klagomål.docx", "A 33801-2025")</f>
        <v/>
      </c>
      <c r="W14">
        <f>HYPERLINK("https://klasma.github.io/Logging_0127/klagomålsmail/A 33801-2025 FSC-klagomål mail.docx", "A 33801-2025")</f>
        <v/>
      </c>
      <c r="X14">
        <f>HYPERLINK("https://klasma.github.io/Logging_0127/tillsyn/A 33801-2025 tillsynsbegäran.docx", "A 33801-2025")</f>
        <v/>
      </c>
      <c r="Y14">
        <f>HYPERLINK("https://klasma.github.io/Logging_0127/tillsynsmail/A 33801-2025 tillsynsbegäran mail.docx", "A 33801-2025")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45982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45982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1691-2023</t>
        </is>
      </c>
      <c r="B17" s="1" t="n">
        <v>44938</v>
      </c>
      <c r="C17" s="1" t="n">
        <v>45982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1691-2023 artfynd.xlsx", "A 1691-2023")</f>
        <v/>
      </c>
      <c r="T17">
        <f>HYPERLINK("https://klasma.github.io/Logging_0127/kartor/A 1691-2023 karta.png", "A 1691-2023")</f>
        <v/>
      </c>
      <c r="V17">
        <f>HYPERLINK("https://klasma.github.io/Logging_0127/klagomål/A 1691-2023 FSC-klagomål.docx", "A 1691-2023")</f>
        <v/>
      </c>
      <c r="W17">
        <f>HYPERLINK("https://klasma.github.io/Logging_0127/klagomålsmail/A 1691-2023 FSC-klagomål mail.docx", "A 1691-2023")</f>
        <v/>
      </c>
      <c r="X17">
        <f>HYPERLINK("https://klasma.github.io/Logging_0127/tillsyn/A 1691-2023 tillsynsbegäran.docx", "A 1691-2023")</f>
        <v/>
      </c>
      <c r="Y17">
        <f>HYPERLINK("https://klasma.github.io/Logging_0127/tillsynsmail/A 1691-2023 tillsynsbegäran mail.docx", "A 1691-2023")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45982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45982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45982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45982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45982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45982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45982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45982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45982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45982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45982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45982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45982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45982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14202-2025</t>
        </is>
      </c>
      <c r="B32" s="1" t="n">
        <v>45740.57461805556</v>
      </c>
      <c r="C32" s="1" t="n">
        <v>45982</v>
      </c>
      <c r="D32" t="inlineStr">
        <is>
          <t>STOCKHOLMS LÄN</t>
        </is>
      </c>
      <c r="E32" t="inlineStr">
        <is>
          <t>BOTKYRKA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21285-2023</t>
        </is>
      </c>
      <c r="B33" s="1" t="n">
        <v>45062</v>
      </c>
      <c r="C33" s="1" t="n">
        <v>45982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45982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30925-2023</t>
        </is>
      </c>
      <c r="B35" s="1" t="n">
        <v>45113</v>
      </c>
      <c r="C35" s="1" t="n">
        <v>45982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15690-2023</t>
        </is>
      </c>
      <c r="B36" s="1" t="n">
        <v>45020</v>
      </c>
      <c r="C36" s="1" t="n">
        <v>45982</v>
      </c>
      <c r="D36" t="inlineStr">
        <is>
          <t>STOCKHOLMS LÄN</t>
        </is>
      </c>
      <c r="E36" t="inlineStr">
        <is>
          <t>BOTKYRKA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11876-2024</t>
        </is>
      </c>
      <c r="B37" s="1" t="n">
        <v>45376.47072916666</v>
      </c>
      <c r="C37" s="1" t="n">
        <v>45982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14217-2025</t>
        </is>
      </c>
      <c r="B38" s="1" t="n">
        <v>45740.58534722222</v>
      </c>
      <c r="C38" s="1" t="n">
        <v>45982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45982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45982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45982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50474-2025</t>
        </is>
      </c>
      <c r="B42" s="1" t="n">
        <v>45945.36526620371</v>
      </c>
      <c r="C42" s="1" t="n">
        <v>45982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45982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45982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45982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45982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45982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20649-2022</t>
        </is>
      </c>
      <c r="B48" s="1" t="n">
        <v>44700</v>
      </c>
      <c r="C48" s="1" t="n">
        <v>45982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8528-2024</t>
        </is>
      </c>
      <c r="B49" s="1" t="n">
        <v>45355.49099537037</v>
      </c>
      <c r="C49" s="1" t="n">
        <v>45982</v>
      </c>
      <c r="D49" t="inlineStr">
        <is>
          <t>STOCKHOLMS LÄN</t>
        </is>
      </c>
      <c r="E49" t="inlineStr">
        <is>
          <t>BOTKYRKA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45982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45982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45982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45982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45982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45982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45982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48656-2022</t>
        </is>
      </c>
      <c r="B57" s="1" t="n">
        <v>44859.43993055556</v>
      </c>
      <c r="C57" s="1" t="n">
        <v>45982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38194-2022</t>
        </is>
      </c>
      <c r="B58" s="1" t="n">
        <v>44812</v>
      </c>
      <c r="C58" s="1" t="n">
        <v>45982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45982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16149-2024</t>
        </is>
      </c>
      <c r="B60" s="1" t="n">
        <v>45406.56984953704</v>
      </c>
      <c r="C60" s="1" t="n">
        <v>45982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28983-2024</t>
        </is>
      </c>
      <c r="B61" s="1" t="n">
        <v>45481.47731481482</v>
      </c>
      <c r="C61" s="1" t="n">
        <v>45982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45982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25217-2024</t>
        </is>
      </c>
      <c r="B63" s="1" t="n">
        <v>45462</v>
      </c>
      <c r="C63" s="1" t="n">
        <v>45982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45982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45982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36097-2021</t>
        </is>
      </c>
      <c r="B66" s="1" t="n">
        <v>44389</v>
      </c>
      <c r="C66" s="1" t="n">
        <v>45982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16145-2024</t>
        </is>
      </c>
      <c r="B67" s="1" t="n">
        <v>45406.56561342593</v>
      </c>
      <c r="C67" s="1" t="n">
        <v>45982</v>
      </c>
      <c r="D67" t="inlineStr">
        <is>
          <t>STOCKHOLMS LÄN</t>
        </is>
      </c>
      <c r="E67" t="inlineStr">
        <is>
          <t>BOTKYRKA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61514-2022</t>
        </is>
      </c>
      <c r="B68" s="1" t="n">
        <v>44916</v>
      </c>
      <c r="C68" s="1" t="n">
        <v>45982</v>
      </c>
      <c r="D68" t="inlineStr">
        <is>
          <t>STOCKHOLMS LÄN</t>
        </is>
      </c>
      <c r="E68" t="inlineStr">
        <is>
          <t>BOTKYRKA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3021-2025</t>
        </is>
      </c>
      <c r="B69" s="1" t="n">
        <v>45678.57962962963</v>
      </c>
      <c r="C69" s="1" t="n">
        <v>45982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177-2021</t>
        </is>
      </c>
      <c r="B70" s="1" t="n">
        <v>44200</v>
      </c>
      <c r="C70" s="1" t="n">
        <v>45982</v>
      </c>
      <c r="D70" t="inlineStr">
        <is>
          <t>STOCKHOLMS LÄN</t>
        </is>
      </c>
      <c r="E70" t="inlineStr">
        <is>
          <t>BOTKYRKA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45982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45982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45982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16142-2024</t>
        </is>
      </c>
      <c r="B74" s="1" t="n">
        <v>45406</v>
      </c>
      <c r="C74" s="1" t="n">
        <v>45982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2025-11-21T19:54:54Z</dcterms:created>
  <dcterms:modified xmlns:dcterms="http://purl.org/dc/terms/" xmlns:xsi="http://www.w3.org/2001/XMLSchema-instance" xsi:type="dcterms:W3CDTF">2025-11-21T19:54:54Z</dcterms:modified>
</cp:coreProperties>
</file>