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46254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46254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46254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46254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46254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46254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46254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46254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46254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46254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46254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46254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46254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46254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46254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46254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46254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46254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46254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46254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60406-2025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45995</v>
      </c>
      <c r="E23" s="1" t="n">
        <v>46254</v>
      </c>
      <c r="F23" t="inlineStr">
        <is>
          <t>STOCKHOLMS LÄN</t>
        </is>
      </c>
      <c r="G23" t="inlineStr">
        <is>
          <t>BOTKYRKA</t>
        </is>
      </c>
      <c r="H23" t="inlineStr">
        <is>
          <t>Övriga Aktiebolag</t>
        </is>
      </c>
      <c r="I23" t="n">
        <v>2.3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Mindre märgborre</t>
        </is>
      </c>
      <c r="W23">
        <f>HYPERLINK("https://klasma.github.io/Logging_0127/artfynd/A 60406-2025 artfynd.xlsx", "A 60406-2025")</f>
        <v/>
      </c>
      <c r="X23">
        <f>HYPERLINK("https://klasma.github.io/Logging_0127/kartor/A 60406-2025 karta.png", "A 60406-2025")</f>
        <v/>
      </c>
      <c r="Y23">
        <f>HYPERLINK("https://klasma.github.io/Logging_0127/kartor_geotiff/A 60406-2025 georefererad karta.tif", "A 60406-2025")</f>
        <v/>
      </c>
      <c r="AA23">
        <f>HYPERLINK("https://klasma.github.io/Logging_0127/klagomål/A 60406-2025 FSC-klagomål.docx", "A 60406-2025")</f>
        <v/>
      </c>
      <c r="AB23">
        <f>HYPERLINK("https://klasma.github.io/Logging_0127/klagomålsmail/A 60406-2025 FSC-klagomål mail.docx", "A 60406-2025")</f>
        <v/>
      </c>
      <c r="AC23">
        <f>HYPERLINK("https://klasma.github.io/Logging_0127/tillsyn/A 60406-2025 tillsynsbegäran.docx", "A 60406-2025")</f>
        <v/>
      </c>
      <c r="AD23">
        <f>HYPERLINK("https://klasma.github.io/Logging_0127/tillsynsmail/A 60406-2025 tillsynsbegäran mail.docx", "A 60406-2025")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46254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46254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46254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46254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46254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46254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46254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46254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46254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HYPERLINK("https://klasma.github.io/Logging_0127/artfynd/A 12305-2026 artfynd.xlsx", "A 12305-2026")</f>
        <v/>
      </c>
      <c r="X32">
        <f>HYPERLINK("https://klasma.github.io/Logging_0127/kartor/A 12305-2026 karta.png", "A 12305-2026")</f>
        <v/>
      </c>
      <c r="Y32">
        <f>HYPERLINK("https://klasma.github.io/Logging_0127/kartor_geotiff/A 12305-2026 georefererad karta.tif", "A 12305-2026")</f>
        <v/>
      </c>
      <c r="AA32">
        <f>HYPERLINK("https://klasma.github.io/Logging_0127/klagomål/A 12305-2026 FSC-klagomål.docx", "A 12305-2026")</f>
        <v/>
      </c>
      <c r="AB32">
        <f>HYPERLINK("https://klasma.github.io/Logging_0127/klagomålsmail/A 12305-2026 FSC-klagomål mail.docx", "A 12305-2026")</f>
        <v/>
      </c>
      <c r="AC32">
        <f>HYPERLINK("https://klasma.github.io/Logging_0127/tillsyn/A 12305-2026 tillsynsbegäran.docx", "A 12305-2026")</f>
        <v/>
      </c>
      <c r="AD32">
        <f>HYPERLINK("https://klasma.github.io/Logging_0127/tillsynsmail/A 12305-2026 tillsynsbegäran mail.docx", "A 12305-2026")</f>
        <v/>
      </c>
      <c r="AE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46254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hackspett</t>
        </is>
      </c>
      <c r="W33">
        <f>HYPERLINK("https://klasma.github.io/Logging_0127/artfynd/A 12590-2026 artfynd.xlsx", "A 12590-2026")</f>
        <v/>
      </c>
      <c r="X33">
        <f>HYPERLINK("https://klasma.github.io/Logging_0127/kartor/A 12590-2026 karta.png", "A 12590-2026")</f>
        <v/>
      </c>
      <c r="Y33">
        <f>HYPERLINK("https://klasma.github.io/Logging_0127/kartor_geotiff/A 12590-2026 georefererad karta.tif", "A 12590-2026")</f>
        <v/>
      </c>
      <c r="AA33">
        <f>HYPERLINK("https://klasma.github.io/Logging_0127/klagomål/A 12590-2026 FSC-klagomål.docx", "A 12590-2026")</f>
        <v/>
      </c>
      <c r="AB33">
        <f>HYPERLINK("https://klasma.github.io/Logging_0127/klagomålsmail/A 12590-2026 FSC-klagomål mail.docx", "A 12590-2026")</f>
        <v/>
      </c>
      <c r="AC33">
        <f>HYPERLINK("https://klasma.github.io/Logging_0127/tillsyn/A 12590-2026 tillsynsbegäran.docx", "A 12590-2026")</f>
        <v/>
      </c>
      <c r="AD33">
        <f>HYPERLINK("https://klasma.github.io/Logging_0127/tillsynsmail/A 12590-2026 tillsynsbegäran mail.docx", "A 12590-2026")</f>
        <v/>
      </c>
      <c r="AE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46254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Fyrflikig jordstjärna</t>
        </is>
      </c>
      <c r="W34">
        <f>HYPERLINK("https://klasma.github.io/Logging_0127/artfynd/A 12842-2026 artfynd.xlsx", "A 12842-2026")</f>
        <v/>
      </c>
      <c r="X34">
        <f>HYPERLINK("https://klasma.github.io/Logging_0127/kartor/A 12842-2026 karta.png", "A 12842-2026")</f>
        <v/>
      </c>
      <c r="Y34">
        <f>HYPERLINK("https://klasma.github.io/Logging_0127/kartor_geotiff/A 12842-2026 georefererad karta.tif", "A 12842-2026")</f>
        <v/>
      </c>
      <c r="AA34">
        <f>HYPERLINK("https://klasma.github.io/Logging_0127/klagomål/A 12842-2026 FSC-klagomål.docx", "A 12842-2026")</f>
        <v/>
      </c>
      <c r="AB34">
        <f>HYPERLINK("https://klasma.github.io/Logging_0127/klagomålsmail/A 12842-2026 FSC-klagomål mail.docx", "A 12842-2026")</f>
        <v/>
      </c>
      <c r="AC34">
        <f>HYPERLINK("https://klasma.github.io/Logging_0127/tillsyn/A 12842-2026 tillsynsbegäran.docx", "A 12842-2026")</f>
        <v/>
      </c>
      <c r="AD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46254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46254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46254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46254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46254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46254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46254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46254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46254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46254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46254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46254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46254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46254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8528-2024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45355</v>
      </c>
      <c r="E49" s="1" t="n">
        <v>46254</v>
      </c>
      <c r="F49" t="inlineStr">
        <is>
          <t>STOCKHOLMS LÄN</t>
        </is>
      </c>
      <c r="G49" t="inlineStr">
        <is>
          <t>BOTKYRKA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46254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46254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46254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46254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46254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46254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46254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46254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46254</v>
      </c>
      <c r="F58" t="inlineStr">
        <is>
          <t>STOCKHOLMS LÄN</t>
        </is>
      </c>
      <c r="G58" t="inlineStr">
        <is>
          <t>BOTKYRKA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46254</v>
      </c>
      <c r="F59" t="inlineStr">
        <is>
          <t>STOCKHOLMS LÄN</t>
        </is>
      </c>
      <c r="G59" t="inlineStr">
        <is>
          <t>BOTKYRKA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46254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48656-2022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46254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46254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46254</v>
      </c>
      <c r="F63" t="inlineStr">
        <is>
          <t>STOCKHOLMS LÄN</t>
        </is>
      </c>
      <c r="G63" t="inlineStr">
        <is>
          <t>BOTKYRKA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46254</v>
      </c>
      <c r="F64" t="inlineStr">
        <is>
          <t>STOCKHOLMS LÄN</t>
        </is>
      </c>
      <c r="G64" t="inlineStr">
        <is>
          <t>BOTKYRKA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46254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46254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46254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46087</v>
      </c>
      <c r="E68" s="1" t="n">
        <v>46254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46087</v>
      </c>
      <c r="E69" s="1" t="n">
        <v>46254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46254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46254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46254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46254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46254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2026-08-20T01:45:33Z</dcterms:created>
  <dcterms:modified xmlns:dcterms="http://purl.org/dc/terms/" xmlns:xsi="http://www.w3.org/2001/XMLSchema-instance" xsi:type="dcterms:W3CDTF">2026-08-20T01:45:33Z</dcterms:modified>
</cp:coreProperties>
</file>