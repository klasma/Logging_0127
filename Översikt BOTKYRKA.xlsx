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45939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45939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48514-2025</t>
        </is>
      </c>
      <c r="B6" s="1" t="n">
        <v>45936.3874074074</v>
      </c>
      <c r="C6" s="1" t="n">
        <v>45939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Motaggsvamp
Svartvit taggsvamp
Tallticka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</row>
    <row r="7" ht="15" customHeight="1">
      <c r="A7" t="inlineStr">
        <is>
          <t>A 53981-2020</t>
        </is>
      </c>
      <c r="B7" s="1" t="n">
        <v>44125</v>
      </c>
      <c r="C7" s="1" t="n">
        <v>45939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6.3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Mindre vattensalamander
Vanlig groda
Vanlig padda</t>
        </is>
      </c>
      <c r="S7">
        <f>HYPERLINK("https://klasma.github.io/Logging_0127/artfynd/A 53981-2020 artfynd.xlsx", "A 53981-2020")</f>
        <v/>
      </c>
      <c r="T7">
        <f>HYPERLINK("https://klasma.github.io/Logging_0127/kartor/A 53981-2020 karta.png", "A 53981-2020")</f>
        <v/>
      </c>
      <c r="V7">
        <f>HYPERLINK("https://klasma.github.io/Logging_0127/klagomål/A 53981-2020 FSC-klagomål.docx", "A 53981-2020")</f>
        <v/>
      </c>
      <c r="W7">
        <f>HYPERLINK("https://klasma.github.io/Logging_0127/klagomålsmail/A 53981-2020 FSC-klagomål mail.docx", "A 53981-2020")</f>
        <v/>
      </c>
      <c r="X7">
        <f>HYPERLINK("https://klasma.github.io/Logging_0127/tillsyn/A 53981-2020 tillsynsbegäran.docx", "A 53981-2020")</f>
        <v/>
      </c>
      <c r="Y7">
        <f>HYPERLINK("https://klasma.github.io/Logging_0127/tillsynsmail/A 53981-2020 tillsynsbegäran mail.docx", "A 53981-2020")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45939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45939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45939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45939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45939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56816-2021</t>
        </is>
      </c>
      <c r="B13" s="1" t="n">
        <v>44481</v>
      </c>
      <c r="C13" s="1" t="n">
        <v>45939</v>
      </c>
      <c r="D13" t="inlineStr">
        <is>
          <t>STOCKHOLMS LÄN</t>
        </is>
      </c>
      <c r="E13" t="inlineStr">
        <is>
          <t>BOTKYRKA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HYPERLINK("https://klasma.github.io/Logging_0127/artfynd/A 56816-2021 artfynd.xlsx", "A 56816-2021")</f>
        <v/>
      </c>
      <c r="T13">
        <f>HYPERLINK("https://klasma.github.io/Logging_0127/kartor/A 56816-2021 karta.png", "A 56816-2021")</f>
        <v/>
      </c>
      <c r="V13">
        <f>HYPERLINK("https://klasma.github.io/Logging_0127/klagomål/A 56816-2021 FSC-klagomål.docx", "A 56816-2021")</f>
        <v/>
      </c>
      <c r="W13">
        <f>HYPERLINK("https://klasma.github.io/Logging_0127/klagomålsmail/A 56816-2021 FSC-klagomål mail.docx", "A 56816-2021")</f>
        <v/>
      </c>
      <c r="X13">
        <f>HYPERLINK("https://klasma.github.io/Logging_0127/tillsyn/A 56816-2021 tillsynsbegäran.docx", "A 56816-2021")</f>
        <v/>
      </c>
      <c r="Y13">
        <f>HYPERLINK("https://klasma.github.io/Logging_0127/tillsynsmail/A 56816-2021 tillsynsbegäran mail.docx", "A 56816-2021")</f>
        <v/>
      </c>
      <c r="Z13">
        <f>HYPERLINK("https://klasma.github.io/Logging_0127/fåglar/A 56816-2021 prioriterade fågelarter.docx", "A 56816-2021")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45939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45939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45939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45939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45939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33801-2025</t>
        </is>
      </c>
      <c r="B19" s="1" t="n">
        <v>45842</v>
      </c>
      <c r="C19" s="1" t="n">
        <v>45939</v>
      </c>
      <c r="D19" t="inlineStr">
        <is>
          <t>STOCKHOLMS LÄN</t>
        </is>
      </c>
      <c r="E19" t="inlineStr">
        <is>
          <t>BOTKYRKA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HYPERLINK("https://klasma.github.io/Logging_0127/artfynd/A 33801-2025 artfynd.xlsx", "A 33801-2025")</f>
        <v/>
      </c>
      <c r="T19">
        <f>HYPERLINK("https://klasma.github.io/Logging_0127/kartor/A 33801-2025 karta.png", "A 33801-2025")</f>
        <v/>
      </c>
      <c r="V19">
        <f>HYPERLINK("https://klasma.github.io/Logging_0127/klagomål/A 33801-2025 FSC-klagomål.docx", "A 33801-2025")</f>
        <v/>
      </c>
      <c r="W19">
        <f>HYPERLINK("https://klasma.github.io/Logging_0127/klagomålsmail/A 33801-2025 FSC-klagomål mail.docx", "A 33801-2025")</f>
        <v/>
      </c>
      <c r="X19">
        <f>HYPERLINK("https://klasma.github.io/Logging_0127/tillsyn/A 33801-2025 tillsynsbegäran.docx", "A 33801-2025")</f>
        <v/>
      </c>
      <c r="Y19">
        <f>HYPERLINK("https://klasma.github.io/Logging_0127/tillsynsmail/A 33801-2025 tillsynsbegäran mail.docx", "A 33801-2025")</f>
        <v/>
      </c>
    </row>
    <row r="20" ht="15" customHeight="1">
      <c r="A20" t="inlineStr">
        <is>
          <t>A 27791-2021</t>
        </is>
      </c>
      <c r="B20" s="1" t="n">
        <v>44354</v>
      </c>
      <c r="C20" s="1" t="n">
        <v>45939</v>
      </c>
      <c r="D20" t="inlineStr">
        <is>
          <t>STOCKHOLMS LÄN</t>
        </is>
      </c>
      <c r="E20" t="inlineStr">
        <is>
          <t>BOTKYRKA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3681-2022</t>
        </is>
      </c>
      <c r="B21" s="1" t="n">
        <v>44586</v>
      </c>
      <c r="C21" s="1" t="n">
        <v>45939</v>
      </c>
      <c r="D21" t="inlineStr">
        <is>
          <t>STOCKHOLMS LÄN</t>
        </is>
      </c>
      <c r="E21" t="inlineStr">
        <is>
          <t>BOTKYRKA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45939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32828-2022</t>
        </is>
      </c>
      <c r="B23" s="1" t="n">
        <v>44784</v>
      </c>
      <c r="C23" s="1" t="n">
        <v>45939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43717-2021</t>
        </is>
      </c>
      <c r="B24" s="1" t="n">
        <v>44433.62546296296</v>
      </c>
      <c r="C24" s="1" t="n">
        <v>45939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45939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45939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10817-2021</t>
        </is>
      </c>
      <c r="B27" s="1" t="n">
        <v>44259</v>
      </c>
      <c r="C27" s="1" t="n">
        <v>45939</v>
      </c>
      <c r="D27" t="inlineStr">
        <is>
          <t>STOCKHOLMS LÄN</t>
        </is>
      </c>
      <c r="E27" t="inlineStr">
        <is>
          <t>BOTKYRKA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52035-2021</t>
        </is>
      </c>
      <c r="B28" s="1" t="n">
        <v>44463</v>
      </c>
      <c r="C28" s="1" t="n">
        <v>45939</v>
      </c>
      <c r="D28" t="inlineStr">
        <is>
          <t>STOCKHOLMS LÄN</t>
        </is>
      </c>
      <c r="E28" t="inlineStr">
        <is>
          <t>BOTKYRKA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35492-2021</t>
        </is>
      </c>
      <c r="B29" s="1" t="n">
        <v>44385</v>
      </c>
      <c r="C29" s="1" t="n">
        <v>45939</v>
      </c>
      <c r="D29" t="inlineStr">
        <is>
          <t>STOCKHOLMS LÄN</t>
        </is>
      </c>
      <c r="E29" t="inlineStr">
        <is>
          <t>BOTKYRKA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20210-2021</t>
        </is>
      </c>
      <c r="B30" s="1" t="n">
        <v>44314</v>
      </c>
      <c r="C30" s="1" t="n">
        <v>45939</v>
      </c>
      <c r="D30" t="inlineStr">
        <is>
          <t>STOCKHOLMS LÄN</t>
        </is>
      </c>
      <c r="E30" t="inlineStr">
        <is>
          <t>BOTKYRKA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45939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73772-2021</t>
        </is>
      </c>
      <c r="B32" s="1" t="n">
        <v>44552</v>
      </c>
      <c r="C32" s="1" t="n">
        <v>45939</v>
      </c>
      <c r="D32" t="inlineStr">
        <is>
          <t>STOCKHOLMS LÄN</t>
        </is>
      </c>
      <c r="E32" t="inlineStr">
        <is>
          <t>BOTKYRKA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48656-2022</t>
        </is>
      </c>
      <c r="B33" s="1" t="n">
        <v>44859.43993055556</v>
      </c>
      <c r="C33" s="1" t="n">
        <v>45939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55200-2020</t>
        </is>
      </c>
      <c r="B34" s="1" t="n">
        <v>44130</v>
      </c>
      <c r="C34" s="1" t="n">
        <v>45939</v>
      </c>
      <c r="D34" t="inlineStr">
        <is>
          <t>STOCKHOLMS LÄN</t>
        </is>
      </c>
      <c r="E34" t="inlineStr">
        <is>
          <t>BOTKYRKA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16149-2024</t>
        </is>
      </c>
      <c r="B35" s="1" t="n">
        <v>45406.56984953704</v>
      </c>
      <c r="C35" s="1" t="n">
        <v>45939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16145-2024</t>
        </is>
      </c>
      <c r="B36" s="1" t="n">
        <v>45406.56561342593</v>
      </c>
      <c r="C36" s="1" t="n">
        <v>45939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10815-2021</t>
        </is>
      </c>
      <c r="B37" s="1" t="n">
        <v>44259</v>
      </c>
      <c r="C37" s="1" t="n">
        <v>45939</v>
      </c>
      <c r="D37" t="inlineStr">
        <is>
          <t>STOCKHOLMS LÄN</t>
        </is>
      </c>
      <c r="E37" t="inlineStr">
        <is>
          <t>BOTKYRKA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9032-2023</t>
        </is>
      </c>
      <c r="B38" s="1" t="n">
        <v>44979</v>
      </c>
      <c r="C38" s="1" t="n">
        <v>45939</v>
      </c>
      <c r="D38" t="inlineStr">
        <is>
          <t>STOCKHOLMS LÄN</t>
        </is>
      </c>
      <c r="E38" t="inlineStr">
        <is>
          <t>BOTKYRKA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14202-2025</t>
        </is>
      </c>
      <c r="B39" s="1" t="n">
        <v>45740.57461805556</v>
      </c>
      <c r="C39" s="1" t="n">
        <v>45939</v>
      </c>
      <c r="D39" t="inlineStr">
        <is>
          <t>STOCKHOLMS LÄN</t>
        </is>
      </c>
      <c r="E39" t="inlineStr">
        <is>
          <t>BOTKYRKA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45939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46405-2022</t>
        </is>
      </c>
      <c r="B41" s="1" t="n">
        <v>44846</v>
      </c>
      <c r="C41" s="1" t="n">
        <v>45939</v>
      </c>
      <c r="D41" t="inlineStr">
        <is>
          <t>STOCKHOLMS LÄN</t>
        </is>
      </c>
      <c r="E41" t="inlineStr">
        <is>
          <t>BOTKYRKA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25217-2024</t>
        </is>
      </c>
      <c r="B42" s="1" t="n">
        <v>45462</v>
      </c>
      <c r="C42" s="1" t="n">
        <v>45939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37095-2021</t>
        </is>
      </c>
      <c r="B43" s="1" t="n">
        <v>44395</v>
      </c>
      <c r="C43" s="1" t="n">
        <v>45939</v>
      </c>
      <c r="D43" t="inlineStr">
        <is>
          <t>STOCKHOLMS LÄN</t>
        </is>
      </c>
      <c r="E43" t="inlineStr">
        <is>
          <t>BOTKYRKA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45939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45939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21285-2023</t>
        </is>
      </c>
      <c r="B46" s="1" t="n">
        <v>45062</v>
      </c>
      <c r="C46" s="1" t="n">
        <v>45939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45939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54002-2020</t>
        </is>
      </c>
      <c r="B48" s="1" t="n">
        <v>44125</v>
      </c>
      <c r="C48" s="1" t="n">
        <v>45939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45939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45939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45939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30622-2024</t>
        </is>
      </c>
      <c r="B52" s="1" t="n">
        <v>45495</v>
      </c>
      <c r="C52" s="1" t="n">
        <v>45939</v>
      </c>
      <c r="D52" t="inlineStr">
        <is>
          <t>STOCKHOLMS LÄN</t>
        </is>
      </c>
      <c r="E52" t="inlineStr">
        <is>
          <t>BOTKYRKA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61320-2024</t>
        </is>
      </c>
      <c r="B53" s="1" t="n">
        <v>45646.33262731481</v>
      </c>
      <c r="C53" s="1" t="n">
        <v>45939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45939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53979-2020</t>
        </is>
      </c>
      <c r="B55" s="1" t="n">
        <v>44125</v>
      </c>
      <c r="C55" s="1" t="n">
        <v>45939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30925-2023</t>
        </is>
      </c>
      <c r="B56" s="1" t="n">
        <v>45113</v>
      </c>
      <c r="C56" s="1" t="n">
        <v>45939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30378-2024</t>
        </is>
      </c>
      <c r="B57" s="1" t="n">
        <v>45491</v>
      </c>
      <c r="C57" s="1" t="n">
        <v>45939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177-2021</t>
        </is>
      </c>
      <c r="B58" s="1" t="n">
        <v>44200</v>
      </c>
      <c r="C58" s="1" t="n">
        <v>45939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15905-2022</t>
        </is>
      </c>
      <c r="B59" s="1" t="n">
        <v>44664</v>
      </c>
      <c r="C59" s="1" t="n">
        <v>45939</v>
      </c>
      <c r="D59" t="inlineStr">
        <is>
          <t>STOCKHOLMS LÄN</t>
        </is>
      </c>
      <c r="E59" t="inlineStr">
        <is>
          <t>BOTKYRKA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45869-2022</t>
        </is>
      </c>
      <c r="B60" s="1" t="n">
        <v>44844</v>
      </c>
      <c r="C60" s="1" t="n">
        <v>45939</v>
      </c>
      <c r="D60" t="inlineStr">
        <is>
          <t>STOCKHOLMS LÄN</t>
        </is>
      </c>
      <c r="E60" t="inlineStr">
        <is>
          <t>BOTKYRKA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14217-2025</t>
        </is>
      </c>
      <c r="B61" s="1" t="n">
        <v>45740.58534722222</v>
      </c>
      <c r="C61" s="1" t="n">
        <v>45939</v>
      </c>
      <c r="D61" t="inlineStr">
        <is>
          <t>STOCKHOLMS LÄN</t>
        </is>
      </c>
      <c r="E61" t="inlineStr">
        <is>
          <t>BOTKYRKA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57809-2020</t>
        </is>
      </c>
      <c r="B62" s="1" t="n">
        <v>44141</v>
      </c>
      <c r="C62" s="1" t="n">
        <v>45939</v>
      </c>
      <c r="D62" t="inlineStr">
        <is>
          <t>STOCKHOLMS LÄN</t>
        </is>
      </c>
      <c r="E62" t="inlineStr">
        <is>
          <t>BOTKYRKA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61514-2022</t>
        </is>
      </c>
      <c r="B63" s="1" t="n">
        <v>44916</v>
      </c>
      <c r="C63" s="1" t="n">
        <v>45939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15692-2023</t>
        </is>
      </c>
      <c r="B64" s="1" t="n">
        <v>45020</v>
      </c>
      <c r="C64" s="1" t="n">
        <v>45939</v>
      </c>
      <c r="D64" t="inlineStr">
        <is>
          <t>STOCKHOLMS LÄN</t>
        </is>
      </c>
      <c r="E64" t="inlineStr">
        <is>
          <t>BOTKYRKA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45939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61242-2022</t>
        </is>
      </c>
      <c r="B66" s="1" t="n">
        <v>44915</v>
      </c>
      <c r="C66" s="1" t="n">
        <v>45939</v>
      </c>
      <c r="D66" t="inlineStr">
        <is>
          <t>STOCKHOLMS LÄN</t>
        </is>
      </c>
      <c r="E66" t="inlineStr">
        <is>
          <t>BOTKYRKA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49175-2025</t>
        </is>
      </c>
      <c r="B67" s="1" t="n">
        <v>45938.3790162037</v>
      </c>
      <c r="C67" s="1" t="n">
        <v>45939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73151-2021</t>
        </is>
      </c>
      <c r="B68" s="1" t="n">
        <v>44550.5162037037</v>
      </c>
      <c r="C68" s="1" t="n">
        <v>45939</v>
      </c>
      <c r="D68" t="inlineStr">
        <is>
          <t>STOCKHOLMS LÄN</t>
        </is>
      </c>
      <c r="E68" t="inlineStr">
        <is>
          <t>BOTKYRKA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73194-2021</t>
        </is>
      </c>
      <c r="B69" s="1" t="n">
        <v>44550.61508101852</v>
      </c>
      <c r="C69" s="1" t="n">
        <v>45939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11876-2024</t>
        </is>
      </c>
      <c r="B70" s="1" t="n">
        <v>45376.47072916666</v>
      </c>
      <c r="C70" s="1" t="n">
        <v>45939</v>
      </c>
      <c r="D70" t="inlineStr">
        <is>
          <t>STOCKHOLMS LÄN</t>
        </is>
      </c>
      <c r="E70" t="inlineStr">
        <is>
          <t>BOTKYRKA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16142-2024</t>
        </is>
      </c>
      <c r="B71" s="1" t="n">
        <v>45406</v>
      </c>
      <c r="C71" s="1" t="n">
        <v>45939</v>
      </c>
      <c r="D71" t="inlineStr">
        <is>
          <t>STOCKHOLMS LÄN</t>
        </is>
      </c>
      <c r="E71" t="inlineStr">
        <is>
          <t>BOTKYRKA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15690-2023</t>
        </is>
      </c>
      <c r="B72" s="1" t="n">
        <v>45020</v>
      </c>
      <c r="C72" s="1" t="n">
        <v>45939</v>
      </c>
      <c r="D72" t="inlineStr">
        <is>
          <t>STOCKHOLMS LÄN</t>
        </is>
      </c>
      <c r="E72" t="inlineStr">
        <is>
          <t>BOTKYRKA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45939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6059-2022</t>
        </is>
      </c>
      <c r="B74" s="1" t="n">
        <v>44599</v>
      </c>
      <c r="C74" s="1" t="n">
        <v>45939</v>
      </c>
      <c r="D74" t="inlineStr">
        <is>
          <t>STOCKHOLMS LÄN</t>
        </is>
      </c>
      <c r="E74" t="inlineStr">
        <is>
          <t>BOTKYRKA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61225-2022</t>
        </is>
      </c>
      <c r="B75" s="1" t="n">
        <v>44915</v>
      </c>
      <c r="C75" s="1" t="n">
        <v>45939</v>
      </c>
      <c r="D75" t="inlineStr">
        <is>
          <t>STOCKHOLMS LÄN</t>
        </is>
      </c>
      <c r="E75" t="inlineStr">
        <is>
          <t>BOTKYRKA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8528-2024</t>
        </is>
      </c>
      <c r="B76" s="1" t="n">
        <v>45355.49099537037</v>
      </c>
      <c r="C76" s="1" t="n">
        <v>45939</v>
      </c>
      <c r="D76" t="inlineStr">
        <is>
          <t>STOCKHOLMS LÄN</t>
        </is>
      </c>
      <c r="E76" t="inlineStr">
        <is>
          <t>BOTKYRKA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3686-2022</t>
        </is>
      </c>
      <c r="B77" s="1" t="n">
        <v>44586.57239583333</v>
      </c>
      <c r="C77" s="1" t="n">
        <v>45939</v>
      </c>
      <c r="D77" t="inlineStr">
        <is>
          <t>STOCKHOLMS LÄN</t>
        </is>
      </c>
      <c r="E77" t="inlineStr">
        <is>
          <t>BOTKYRKA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35197-2024</t>
        </is>
      </c>
      <c r="B78" s="1" t="n">
        <v>45530</v>
      </c>
      <c r="C78" s="1" t="n">
        <v>45939</v>
      </c>
      <c r="D78" t="inlineStr">
        <is>
          <t>STOCKHOLMS LÄN</t>
        </is>
      </c>
      <c r="E78" t="inlineStr">
        <is>
          <t>BOTKYRKA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2025-10-09T12:33:22Z</dcterms:created>
  <dcterms:modified xmlns:dcterms="http://purl.org/dc/terms/" xmlns:xsi="http://www.w3.org/2001/XMLSchema-instance" xsi:type="dcterms:W3CDTF">2025-10-09T12:33:22Z</dcterms:modified>
</cp:coreProperties>
</file>