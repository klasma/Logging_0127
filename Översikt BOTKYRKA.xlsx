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46318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46318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46318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46318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46318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46318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46318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46318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A 24799-2026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46318</v>
      </c>
      <c r="F13" t="inlineStr">
        <is>
          <t>STOCKHOLMS LÄN</t>
        </is>
      </c>
      <c r="G13" t="inlineStr">
        <is>
          <t>BOTKYRKA</t>
        </is>
      </c>
      <c r="I13" t="n">
        <v>1.7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Gulsparv
Mindre märgborre
Spillkråka
Tofsmes</t>
        </is>
      </c>
      <c r="W13">
        <f>HYPERLINK("https://klasma.github.io/Logging_0127/artfynd/A 24799-2026 artfynd.xlsx", "A 24799-2026")</f>
        <v/>
      </c>
      <c r="X13">
        <f>HYPERLINK("https://klasma.github.io/Logging_0127/kartor/A 24799-2026 karta.png", "A 24799-2026")</f>
        <v/>
      </c>
      <c r="Y13">
        <f>HYPERLINK("https://klasma.github.io/Logging_0127/kartor_geotiff/A 24799-2026 georefererad karta.tif", "A 24799-2026")</f>
        <v/>
      </c>
      <c r="AA13">
        <f>HYPERLINK("https://klasma.github.io/Logging_0127/klagomål/A 24799-2026 FSC-klagomål.docx", "A 24799-2026")</f>
        <v/>
      </c>
      <c r="AB13">
        <f>HYPERLINK("https://klasma.github.io/Logging_0127/klagomålsmail/A 24799-2026 FSC-klagomål mail.docx", "A 24799-2026")</f>
        <v/>
      </c>
      <c r="AC13">
        <f>HYPERLINK("https://klasma.github.io/Logging_0127/tillsyn/A 24799-2026 tillsynsbegäran.docx", "A 24799-2026")</f>
        <v/>
      </c>
      <c r="AD13">
        <f>HYPERLINK("https://klasma.github.io/Logging_0127/tillsynsmail/A 24799-2026 tillsynsbegäran mail.docx", "A 24799-2026")</f>
        <v/>
      </c>
      <c r="AE13">
        <f>HYPERLINK("https://klasma.github.io/Logging_0127/fåglar/A 24799-2026 prioriterade fågelarter.docx", "A 24799-2026")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46318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25319-2026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46318</v>
      </c>
      <c r="F15" t="inlineStr">
        <is>
          <t>STOCKHOLMS LÄN</t>
        </is>
      </c>
      <c r="G15" t="inlineStr">
        <is>
          <t>BOTKYRKA</t>
        </is>
      </c>
      <c r="I15" t="n">
        <v>1.6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Grovticka
Spillkråka
Tofsmes</t>
        </is>
      </c>
      <c r="W15">
        <f>HYPERLINK("https://klasma.github.io/Logging_0127/artfynd/A 25319-2026 artfynd.xlsx", "A 25319-2026")</f>
        <v/>
      </c>
      <c r="X15">
        <f>HYPERLINK("https://klasma.github.io/Logging_0127/kartor/A 25319-2026 karta.png", "A 25319-2026")</f>
        <v/>
      </c>
      <c r="Y15">
        <f>HYPERLINK("https://klasma.github.io/Logging_0127/kartor_geotiff/A 25319-2026 georefererad karta.tif", "A 25319-2026")</f>
        <v/>
      </c>
      <c r="AA15">
        <f>HYPERLINK("https://klasma.github.io/Logging_0127/klagomål/A 25319-2026 FSC-klagomål.docx", "A 25319-2026")</f>
        <v/>
      </c>
      <c r="AB15">
        <f>HYPERLINK("https://klasma.github.io/Logging_0127/klagomålsmail/A 25319-2026 FSC-klagomål mail.docx", "A 25319-2026")</f>
        <v/>
      </c>
      <c r="AC15">
        <f>HYPERLINK("https://klasma.github.io/Logging_0127/tillsyn/A 25319-2026 tillsynsbegäran.docx", "A 25319-2026")</f>
        <v/>
      </c>
      <c r="AD15">
        <f>HYPERLINK("https://klasma.github.io/Logging_0127/tillsynsmail/A 25319-2026 tillsynsbegäran mail.docx", "A 25319-2026")</f>
        <v/>
      </c>
      <c r="AE15">
        <f>HYPERLINK("https://klasma.github.io/Logging_0127/fåglar/A 25319-2026 prioriterade fågelarter.docx", "A 25319-2026")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46318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46318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46318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46318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46318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46318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15905-2022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44664</v>
      </c>
      <c r="E22" s="1" t="n">
        <v>46318</v>
      </c>
      <c r="F22" t="inlineStr">
        <is>
          <t>STOCKHOLMS LÄN</t>
        </is>
      </c>
      <c r="G22" t="inlineStr">
        <is>
          <t>BOTKYRKA</t>
        </is>
      </c>
      <c r="I22" t="n">
        <v>11.2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Motaggsvamp
Svartvit taggsvamp</t>
        </is>
      </c>
      <c r="W22">
        <f>HYPERLINK("https://klasma.github.io/Logging_0127/artfynd/A 15905-2022 artfynd.xlsx", "A 15905-2022")</f>
        <v/>
      </c>
      <c r="X22">
        <f>HYPERLINK("https://klasma.github.io/Logging_0127/kartor/A 15905-2022 karta.png", "A 15905-2022")</f>
        <v/>
      </c>
      <c r="Y22">
        <f>HYPERLINK("https://klasma.github.io/Logging_0127/kartor_geotiff/A 15905-2022 georefererad karta.tif", "A 15905-2022")</f>
        <v/>
      </c>
      <c r="AA22">
        <f>HYPERLINK("https://klasma.github.io/Logging_0127/klagomål/A 15905-2022 FSC-klagomål.docx", "A 15905-2022")</f>
        <v/>
      </c>
      <c r="AB22">
        <f>HYPERLINK("https://klasma.github.io/Logging_0127/klagomålsmail/A 15905-2022 FSC-klagomål mail.docx", "A 15905-2022")</f>
        <v/>
      </c>
      <c r="AC22">
        <f>HYPERLINK("https://klasma.github.io/Logging_0127/tillsyn/A 15905-2022 tillsynsbegäran.docx", "A 15905-2022")</f>
        <v/>
      </c>
      <c r="AD22">
        <f>HYPERLINK("https://klasma.github.io/Logging_0127/tillsynsmail/A 15905-2022 tillsynsbegäran mail.docx", "A 15905-2022")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46318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3726-2022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46318</v>
      </c>
      <c r="F24" t="inlineStr">
        <is>
          <t>STOCKHOLMS LÄN</t>
        </is>
      </c>
      <c r="G24" t="inlineStr">
        <is>
          <t>BOTKYRKA</t>
        </is>
      </c>
      <c r="I24" t="n">
        <v>17.1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Blomkålssvamp</t>
        </is>
      </c>
      <c r="W24">
        <f>HYPERLINK("https://klasma.github.io/Logging_0127/artfynd/A 3726-2022 artfynd.xlsx", "A 3726-2022")</f>
        <v/>
      </c>
      <c r="X24">
        <f>HYPERLINK("https://klasma.github.io/Logging_0127/kartor/A 3726-2022 karta.png", "A 3726-2022")</f>
        <v/>
      </c>
      <c r="Y24">
        <f>HYPERLINK("https://klasma.github.io/Logging_0127/kartor_geotiff/A 3726-2022 georefererad karta.tif", "A 3726-2022")</f>
        <v/>
      </c>
      <c r="AA24">
        <f>HYPERLINK("https://klasma.github.io/Logging_0127/klagomål/A 3726-2022 FSC-klagomål.docx", "A 3726-2022")</f>
        <v/>
      </c>
      <c r="AB24">
        <f>HYPERLINK("https://klasma.github.io/Logging_0127/klagomålsmail/A 3726-2022 FSC-klagomål mail.docx", "A 3726-2022")</f>
        <v/>
      </c>
      <c r="AC24">
        <f>HYPERLINK("https://klasma.github.io/Logging_0127/tillsyn/A 3726-2022 tillsynsbegäran.docx", "A 3726-2022")</f>
        <v/>
      </c>
      <c r="AD24">
        <f>HYPERLINK("https://klasma.github.io/Logging_0127/tillsynsmail/A 3726-2022 tillsynsbegäran mail.docx", "A 3726-2022")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46318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46318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1691-2023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46318</v>
      </c>
      <c r="F27" t="inlineStr">
        <is>
          <t>STOCKHOLMS LÄN</t>
        </is>
      </c>
      <c r="G27" t="inlineStr">
        <is>
          <t>BOTKYRKA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HYPERLINK("https://klasma.github.io/Logging_0127/artfynd/A 1691-2023 artfynd.xlsx", "A 1691-2023")</f>
        <v/>
      </c>
      <c r="X27">
        <f>HYPERLINK("https://klasma.github.io/Logging_0127/kartor/A 1691-2023 karta.png", "A 1691-2023")</f>
        <v/>
      </c>
      <c r="Y27">
        <f>HYPERLINK("https://klasma.github.io/Logging_0127/kartor_geotiff/A 1691-2023 georefererad karta.tif", "A 1691-2023")</f>
        <v/>
      </c>
      <c r="AA27">
        <f>HYPERLINK("https://klasma.github.io/Logging_0127/klagomål/A 1691-2023 FSC-klagomål.docx", "A 1691-2023")</f>
        <v/>
      </c>
      <c r="AB27">
        <f>HYPERLINK("https://klasma.github.io/Logging_0127/klagomålsmail/A 1691-2023 FSC-klagomål mail.docx", "A 1691-2023")</f>
        <v/>
      </c>
      <c r="AC27">
        <f>HYPERLINK("https://klasma.github.io/Logging_0127/tillsyn/A 1691-2023 tillsynsbegäran.docx", "A 1691-2023")</f>
        <v/>
      </c>
      <c r="AD27">
        <f>HYPERLINK("https://klasma.github.io/Logging_0127/tillsynsmail/A 1691-2023 tillsynsbegäran mail.docx", "A 1691-2023")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46318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46318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46318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46318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46318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46318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46318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30925-2023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45113</v>
      </c>
      <c r="E37" s="1" t="n">
        <v>46318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45376</v>
      </c>
      <c r="E38" s="1" t="n">
        <v>46318</v>
      </c>
      <c r="F38" t="inlineStr">
        <is>
          <t>STOCKHOLMS LÄN</t>
        </is>
      </c>
      <c r="G38" t="inlineStr">
        <is>
          <t>BOTKYRKA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46318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46318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25217-2024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45462</v>
      </c>
      <c r="E41" s="1" t="n">
        <v>46318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46318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30622-2024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45495</v>
      </c>
      <c r="E43" s="1" t="n">
        <v>46318</v>
      </c>
      <c r="F43" t="inlineStr">
        <is>
          <t>STOCKHOLMS LÄN</t>
        </is>
      </c>
      <c r="G43" t="inlineStr">
        <is>
          <t>BOTKYRKA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73194-2021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46318</v>
      </c>
      <c r="F44" t="inlineStr">
        <is>
          <t>STOCKHOLMS LÄN</t>
        </is>
      </c>
      <c r="G44" t="inlineStr">
        <is>
          <t>BOTKYRKA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46318</v>
      </c>
      <c r="F45" t="inlineStr">
        <is>
          <t>STOCKHOLMS LÄN</t>
        </is>
      </c>
      <c r="G45" t="inlineStr">
        <is>
          <t>BOTKYRKA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46318</v>
      </c>
      <c r="F46" t="inlineStr">
        <is>
          <t>STOCKHOLMS LÄN</t>
        </is>
      </c>
      <c r="G46" t="inlineStr">
        <is>
          <t>BOTKYRKA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46154</v>
      </c>
      <c r="E47" s="1" t="n">
        <v>46318</v>
      </c>
      <c r="F47" t="inlineStr">
        <is>
          <t>STOCKHOLMS LÄN</t>
        </is>
      </c>
      <c r="G47" t="inlineStr">
        <is>
          <t>BOTKYRKA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45678</v>
      </c>
      <c r="E48" s="1" t="n">
        <v>46318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44599</v>
      </c>
      <c r="E49" s="1" t="n">
        <v>46318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46164</v>
      </c>
      <c r="E50" s="1" t="n">
        <v>46318</v>
      </c>
      <c r="F50" t="inlineStr">
        <is>
          <t>STOCKHOLMS LÄN</t>
        </is>
      </c>
      <c r="G50" t="inlineStr">
        <is>
          <t>BOTKYRKA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46164</v>
      </c>
      <c r="E51" s="1" t="n">
        <v>46318</v>
      </c>
      <c r="F51" t="inlineStr">
        <is>
          <t>STOCKHOLMS LÄN</t>
        </is>
      </c>
      <c r="G51" t="inlineStr">
        <is>
          <t>BOTKYRKA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23718-2026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46318</v>
      </c>
      <c r="F52" t="inlineStr">
        <is>
          <t>STOCKHOLMS LÄN</t>
        </is>
      </c>
      <c r="G52" t="inlineStr">
        <is>
          <t>BOTKYRKA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46318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46318</v>
      </c>
      <c r="F54" t="inlineStr">
        <is>
          <t>STOCKHOLMS LÄN</t>
        </is>
      </c>
      <c r="G54" t="inlineStr">
        <is>
          <t>BOTKYRKA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16483-2023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46318</v>
      </c>
      <c r="F55" t="inlineStr">
        <is>
          <t>STOCKHOLMS LÄN</t>
        </is>
      </c>
      <c r="G55" t="inlineStr">
        <is>
          <t>BOTKYRKA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46318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46318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46318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46318</v>
      </c>
      <c r="F59" t="inlineStr">
        <is>
          <t>STOCKHOLMS LÄN</t>
        </is>
      </c>
      <c r="G59" t="inlineStr">
        <is>
          <t>BOTKYRKA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46318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45355</v>
      </c>
      <c r="E61" s="1" t="n">
        <v>46318</v>
      </c>
      <c r="F61" t="inlineStr">
        <is>
          <t>STOCKHOLMS LÄN</t>
        </is>
      </c>
      <c r="G61" t="inlineStr">
        <is>
          <t>BOTKYRKA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46318</v>
      </c>
      <c r="F62" t="inlineStr">
        <is>
          <t>STOCKHOLMS LÄN</t>
        </is>
      </c>
      <c r="G62" t="inlineStr">
        <is>
          <t>BOTKYRKA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46318</v>
      </c>
      <c r="F63" t="inlineStr">
        <is>
          <t>STOCKHOLMS LÄN</t>
        </is>
      </c>
      <c r="G63" t="inlineStr">
        <is>
          <t>BOTKYRKA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46318</v>
      </c>
      <c r="F64" t="inlineStr">
        <is>
          <t>STOCKHOLMS LÄN</t>
        </is>
      </c>
      <c r="G64" t="inlineStr">
        <is>
          <t>BOTKYRKA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45020</v>
      </c>
      <c r="E65" s="1" t="n">
        <v>46318</v>
      </c>
      <c r="F65" t="inlineStr">
        <is>
          <t>STOCKHOLMS LÄN</t>
        </is>
      </c>
      <c r="G65" t="inlineStr">
        <is>
          <t>BOTKYRKA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73151-2021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46318</v>
      </c>
      <c r="F66" t="inlineStr">
        <is>
          <t>STOCKHOLMS LÄN</t>
        </is>
      </c>
      <c r="G66" t="inlineStr">
        <is>
          <t>BOTKYRKA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46318</v>
      </c>
      <c r="F67" t="inlineStr">
        <is>
          <t>STOCKHOLMS LÄN</t>
        </is>
      </c>
      <c r="G67" t="inlineStr">
        <is>
          <t>BOTKYRKA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73155-2021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46318</v>
      </c>
      <c r="F68" t="inlineStr">
        <is>
          <t>STOCKHOLMS LÄN</t>
        </is>
      </c>
      <c r="G68" t="inlineStr">
        <is>
          <t>BOTKYRKA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48656-2022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46318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46318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46318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2026-10-23T02:04:14Z</dcterms:modified>
</cp:coreProperties>
</file>