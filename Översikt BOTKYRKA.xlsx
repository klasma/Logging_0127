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46290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25306-2026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46176</v>
      </c>
      <c r="E3" s="1" t="n">
        <v>46290</v>
      </c>
      <c r="F3" t="inlineStr">
        <is>
          <t>STOCKHOLMS LÄN</t>
        </is>
      </c>
      <c r="G3" t="inlineStr">
        <is>
          <t>BOTKYRKA</t>
        </is>
      </c>
      <c r="I3" t="n">
        <v>3.2</v>
      </c>
      <c r="J3" t="n">
        <v>4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14</v>
      </c>
      <c r="U3" t="n">
        <v>14</v>
      </c>
      <c r="V3" s="2" t="inlineStr">
        <is>
          <t>Gulsparv
Slåtterfibbla
Tallticka
Blåmossa
Mindre märgborre
Kransmossa
Liljekonvalj
Spillkråka
Tofsmes
Gröngöling</t>
        </is>
      </c>
      <c r="W3">
        <f>HYPERLINK("https://klasma.github.io/Logging_0127/artfynd/A 25306-2026 artfynd.xlsx", "A 25306-2026")</f>
        <v/>
      </c>
      <c r="X3">
        <f>HYPERLINK("https://klasma.github.io/Logging_0127/kartor/A 25306-2026 karta.png", "A 25306-2026")</f>
        <v/>
      </c>
      <c r="Y3">
        <f>HYPERLINK("https://klasma.github.io/Logging_0127/kartor_geotiff/A 25306-2026 georefererad karta.tif", "A 25306-2026")</f>
        <v/>
      </c>
      <c r="AA3">
        <f>HYPERLINK("https://klasma.github.io/Logging_0127/klagomål/A 25306-2026 FSC-klagomål.docx", "A 25306-2026")</f>
        <v/>
      </c>
      <c r="AB3">
        <f>HYPERLINK("https://klasma.github.io/Logging_0127/klagomålsmail/A 25306-2026 FSC-klagomål mail.docx", "A 25306-2026")</f>
        <v/>
      </c>
      <c r="AC3">
        <f>HYPERLINK("https://klasma.github.io/Logging_0127/tillsyn/A 25306-2026 tillsynsbegäran.docx", "A 25306-2026")</f>
        <v/>
      </c>
      <c r="AD3">
        <f>HYPERLINK("https://klasma.github.io/Logging_0127/tillsynsmail/A 25306-2026 tillsynsbegäran mail.docx", "A 25306-2026")</f>
        <v/>
      </c>
      <c r="AE3">
        <f>HYPERLINK("https://klasma.github.io/Logging_0127/fåglar/A 25306-2026 prioriterade fågelarter.docx", "A 25306-2026")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46290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46290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46290</v>
      </c>
      <c r="F6" t="inlineStr">
        <is>
          <t>STOCKHOLMS LÄN</t>
        </is>
      </c>
      <c r="G6" t="inlineStr">
        <is>
          <t>BOTKYRKA</t>
        </is>
      </c>
      <c r="H6" t="inlineStr">
        <is>
          <t>Övriga Aktiebolag</t>
        </is>
      </c>
      <c r="I6" t="n">
        <v>17.1</v>
      </c>
      <c r="J6" t="n">
        <v>2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9</v>
      </c>
      <c r="T6" t="n">
        <v>91</v>
      </c>
      <c r="U6" t="n">
        <v>89</v>
      </c>
      <c r="V6" s="2" t="inlineStr">
        <is>
          <t>Hasselsnok
Igelkott
Lammticka
Motaggsvamp
Skarp dropptaggsvamp
Svartvit taggsvamp
Tallticka
Talltita
Mindre märgborre</t>
        </is>
      </c>
      <c r="W6">
        <f>HYPERLINK("https://klasma.github.io/Logging_0127/artfynd/A 48514-2025 artfynd.xlsx", "A 48514-2025")</f>
        <v/>
      </c>
      <c r="X6">
        <f>HYPERLINK("https://klasma.github.io/Logging_0127/kartor/A 48514-2025 karta.png", "A 48514-2025")</f>
        <v/>
      </c>
      <c r="Y6">
        <f>HYPERLINK("https://klasma.github.io/Logging_0127/kartor_geotiff/A 48514-2025 georefererad karta.tif", "A 48514-2025")</f>
        <v/>
      </c>
      <c r="AA6">
        <f>HYPERLINK("https://klasma.github.io/Logging_0127/klagomål/A 48514-2025 FSC-klagomål.docx", "A 48514-2025")</f>
        <v/>
      </c>
      <c r="AB6">
        <f>HYPERLINK("https://klasma.github.io/Logging_0127/klagomålsmail/A 48514-2025 FSC-klagomål mail.docx", "A 48514-2025")</f>
        <v/>
      </c>
      <c r="AC6">
        <f>HYPERLINK("https://klasma.github.io/Logging_0127/tillsyn/A 48514-2025 tillsynsbegäran.docx", "A 48514-2025")</f>
        <v/>
      </c>
      <c r="AD6">
        <f>HYPERLINK("https://klasma.github.io/Logging_0127/tillsynsmail/A 48514-2025 tillsynsbegäran mail.docx", "A 48514-2025")</f>
        <v/>
      </c>
      <c r="AE6">
        <f>HYPERLINK("https://klasma.github.io/Logging_0127/fåglar/A 48514-2025 prioriterade fågelarter.docx", "A 48514-2025")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46290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46290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46290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46290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46290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46290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46290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46290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46290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46290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46290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46290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46290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46290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46290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46290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46290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46290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46290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3726-2022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46290</v>
      </c>
      <c r="F26" t="inlineStr">
        <is>
          <t>STOCKHOLMS LÄN</t>
        </is>
      </c>
      <c r="G26" t="inlineStr">
        <is>
          <t>BOTKYRKA</t>
        </is>
      </c>
      <c r="I26" t="n">
        <v>17.1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HYPERLINK("https://klasma.github.io/Logging_0127/artfynd/A 3726-2022 artfynd.xlsx", "A 3726-2022")</f>
        <v/>
      </c>
      <c r="X26">
        <f>HYPERLINK("https://klasma.github.io/Logging_0127/kartor/A 3726-2022 karta.png", "A 3726-2022")</f>
        <v/>
      </c>
      <c r="Y26">
        <f>HYPERLINK("https://klasma.github.io/Logging_0127/kartor_geotiff/A 3726-2022 georefererad karta.tif", "A 3726-2022")</f>
        <v/>
      </c>
      <c r="AA26">
        <f>HYPERLINK("https://klasma.github.io/Logging_0127/klagomål/A 3726-2022 FSC-klagomål.docx", "A 3726-2022")</f>
        <v/>
      </c>
      <c r="AB26">
        <f>HYPERLINK("https://klasma.github.io/Logging_0127/klagomålsmail/A 3726-2022 FSC-klagomål mail.docx", "A 3726-2022")</f>
        <v/>
      </c>
      <c r="AC26">
        <f>HYPERLINK("https://klasma.github.io/Logging_0127/tillsyn/A 3726-2022 tillsynsbegäran.docx", "A 3726-2022")</f>
        <v/>
      </c>
      <c r="AD26">
        <f>HYPERLINK("https://klasma.github.io/Logging_0127/tillsynsmail/A 3726-2022 tillsynsbegäran mail.docx", "A 3726-2022")</f>
        <v/>
      </c>
    </row>
    <row r="27" ht="15" customHeight="1">
      <c r="A27" t="inlineStr">
        <is>
          <t>A 28983-2024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45481</v>
      </c>
      <c r="E27" s="1" t="n">
        <v>46290</v>
      </c>
      <c r="F27" t="inlineStr">
        <is>
          <t>STOCKHOLMS LÄN</t>
        </is>
      </c>
      <c r="G27" t="inlineStr">
        <is>
          <t>BOTKYRKA</t>
        </is>
      </c>
      <c r="I27" t="n">
        <v>0.8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Tibast</t>
        </is>
      </c>
      <c r="W27">
        <f>HYPERLINK("https://klasma.github.io/Logging_0127/artfynd/A 28983-2024 artfynd.xlsx", "A 28983-2024")</f>
        <v/>
      </c>
      <c r="X27">
        <f>HYPERLINK("https://klasma.github.io/Logging_0127/kartor/A 28983-2024 karta.png", "A 28983-2024")</f>
        <v/>
      </c>
      <c r="Y27">
        <f>HYPERLINK("https://klasma.github.io/Logging_0127/kartor_geotiff/A 28983-2024 georefererad karta.tif", "A 28983-2024")</f>
        <v/>
      </c>
      <c r="AA27">
        <f>HYPERLINK("https://klasma.github.io/Logging_0127/klagomål/A 28983-2024 FSC-klagomål.docx", "A 28983-2024")</f>
        <v/>
      </c>
      <c r="AB27">
        <f>HYPERLINK("https://klasma.github.io/Logging_0127/klagomålsmail/A 28983-2024 FSC-klagomål mail.docx", "A 28983-2024")</f>
        <v/>
      </c>
      <c r="AC27">
        <f>HYPERLINK("https://klasma.github.io/Logging_0127/tillsyn/A 28983-2024 tillsynsbegäran.docx", "A 28983-2024")</f>
        <v/>
      </c>
      <c r="AD27">
        <f>HYPERLINK("https://klasma.github.io/Logging_0127/tillsynsmail/A 28983-2024 tillsynsbegäran mail.docx", "A 28983-2024")</f>
        <v/>
      </c>
    </row>
    <row r="28" ht="15" customHeight="1">
      <c r="A28" t="inlineStr">
        <is>
          <t>A 12305-2026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46290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HYPERLINK("https://klasma.github.io/Logging_0127/artfynd/A 12305-2026 artfynd.xlsx", "A 12305-2026")</f>
        <v/>
      </c>
      <c r="X28">
        <f>HYPERLINK("https://klasma.github.io/Logging_0127/kartor/A 12305-2026 karta.png", "A 12305-2026")</f>
        <v/>
      </c>
      <c r="Y28">
        <f>HYPERLINK("https://klasma.github.io/Logging_0127/kartor_geotiff/A 12305-2026 georefererad karta.tif", "A 12305-2026")</f>
        <v/>
      </c>
      <c r="AA28">
        <f>HYPERLINK("https://klasma.github.io/Logging_0127/klagomål/A 12305-2026 FSC-klagomål.docx", "A 12305-2026")</f>
        <v/>
      </c>
      <c r="AB28">
        <f>HYPERLINK("https://klasma.github.io/Logging_0127/klagomålsmail/A 12305-2026 FSC-klagomål mail.docx", "A 12305-2026")</f>
        <v/>
      </c>
      <c r="AC28">
        <f>HYPERLINK("https://klasma.github.io/Logging_0127/tillsyn/A 12305-2026 tillsynsbegäran.docx", "A 12305-2026")</f>
        <v/>
      </c>
      <c r="AD28">
        <f>HYPERLINK("https://klasma.github.io/Logging_0127/tillsynsmail/A 12305-2026 tillsynsbegäran mail.docx", "A 12305-2026")</f>
        <v/>
      </c>
      <c r="AE28">
        <f>HYPERLINK("https://klasma.github.io/Logging_0127/fåglar/A 12305-2026 prioriterade fågelarter.docx", "A 12305-2026")</f>
        <v/>
      </c>
    </row>
    <row r="29" ht="15" customHeight="1">
      <c r="A29" t="inlineStr">
        <is>
          <t>A 12590-2026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46090</v>
      </c>
      <c r="E29" s="1" t="n">
        <v>46290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hackspett</t>
        </is>
      </c>
      <c r="W29">
        <f>HYPERLINK("https://klasma.github.io/Logging_0127/artfynd/A 12590-2026 artfynd.xlsx", "A 12590-2026")</f>
        <v/>
      </c>
      <c r="X29">
        <f>HYPERLINK("https://klasma.github.io/Logging_0127/kartor/A 12590-2026 karta.png", "A 12590-2026")</f>
        <v/>
      </c>
      <c r="Y29">
        <f>HYPERLINK("https://klasma.github.io/Logging_0127/kartor_geotiff/A 12590-2026 georefererad karta.tif", "A 12590-2026")</f>
        <v/>
      </c>
      <c r="AA29">
        <f>HYPERLINK("https://klasma.github.io/Logging_0127/klagomål/A 12590-2026 FSC-klagomål.docx", "A 12590-2026")</f>
        <v/>
      </c>
      <c r="AB29">
        <f>HYPERLINK("https://klasma.github.io/Logging_0127/klagomålsmail/A 12590-2026 FSC-klagomål mail.docx", "A 12590-2026")</f>
        <v/>
      </c>
      <c r="AC29">
        <f>HYPERLINK("https://klasma.github.io/Logging_0127/tillsyn/A 12590-2026 tillsynsbegäran.docx", "A 12590-2026")</f>
        <v/>
      </c>
      <c r="AD29">
        <f>HYPERLINK("https://klasma.github.io/Logging_0127/tillsynsmail/A 12590-2026 tillsynsbegäran mail.docx", "A 12590-2026")</f>
        <v/>
      </c>
      <c r="AE29">
        <f>HYPERLINK("https://klasma.github.io/Logging_0127/fåglar/A 12590-2026 prioriterade fågelarter.docx", "A 12590-2026")</f>
        <v/>
      </c>
    </row>
    <row r="30" ht="15" customHeight="1">
      <c r="A30" t="inlineStr">
        <is>
          <t>A 12842-2026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46290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Fyrflikig jordstjärna</t>
        </is>
      </c>
      <c r="W30">
        <f>HYPERLINK("https://klasma.github.io/Logging_0127/artfynd/A 12842-2026 artfynd.xlsx", "A 12842-2026")</f>
        <v/>
      </c>
      <c r="X30">
        <f>HYPERLINK("https://klasma.github.io/Logging_0127/kartor/A 12842-2026 karta.png", "A 12842-2026")</f>
        <v/>
      </c>
      <c r="Y30">
        <f>HYPERLINK("https://klasma.github.io/Logging_0127/kartor_geotiff/A 12842-2026 georefererad karta.tif", "A 12842-2026")</f>
        <v/>
      </c>
      <c r="AA30">
        <f>HYPERLINK("https://klasma.github.io/Logging_0127/klagomål/A 12842-2026 FSC-klagomål.docx", "A 12842-2026")</f>
        <v/>
      </c>
      <c r="AB30">
        <f>HYPERLINK("https://klasma.github.io/Logging_0127/klagomålsmail/A 12842-2026 FSC-klagomål mail.docx", "A 12842-2026")</f>
        <v/>
      </c>
      <c r="AC30">
        <f>HYPERLINK("https://klasma.github.io/Logging_0127/tillsyn/A 12842-2026 tillsynsbegäran.docx", "A 12842-2026")</f>
        <v/>
      </c>
      <c r="AD30">
        <f>HYPERLINK("https://klasma.github.io/Logging_0127/tillsynsmail/A 12842-2026 tillsynsbegäran mail.docx", "A 12842-2026")</f>
        <v/>
      </c>
    </row>
    <row r="31" ht="15" customHeight="1">
      <c r="A31" t="inlineStr">
        <is>
          <t>A 1691-2023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46290</v>
      </c>
      <c r="F31" t="inlineStr">
        <is>
          <t>STOCKHOLMS LÄN</t>
        </is>
      </c>
      <c r="G31" t="inlineStr">
        <is>
          <t>BOTKYRKA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HYPERLINK("https://klasma.github.io/Logging_0127/artfynd/A 1691-2023 artfynd.xlsx", "A 1691-2023")</f>
        <v/>
      </c>
      <c r="X31">
        <f>HYPERLINK("https://klasma.github.io/Logging_0127/kartor/A 1691-2023 karta.png", "A 1691-2023")</f>
        <v/>
      </c>
      <c r="Y31">
        <f>HYPERLINK("https://klasma.github.io/Logging_0127/kartor_geotiff/A 1691-2023 georefererad karta.tif", "A 1691-2023")</f>
        <v/>
      </c>
      <c r="AA31">
        <f>HYPERLINK("https://klasma.github.io/Logging_0127/klagomål/A 1691-2023 FSC-klagomål.docx", "A 1691-2023")</f>
        <v/>
      </c>
      <c r="AB31">
        <f>HYPERLINK("https://klasma.github.io/Logging_0127/klagomålsmail/A 1691-2023 FSC-klagomål mail.docx", "A 1691-2023")</f>
        <v/>
      </c>
      <c r="AC31">
        <f>HYPERLINK("https://klasma.github.io/Logging_0127/tillsyn/A 1691-2023 tillsynsbegäran.docx", "A 1691-2023")</f>
        <v/>
      </c>
      <c r="AD31">
        <f>HYPERLINK("https://klasma.github.io/Logging_0127/tillsynsmail/A 1691-2023 tillsynsbegäran mail.docx", "A 1691-2023")</f>
        <v/>
      </c>
    </row>
    <row r="32" ht="15" customHeight="1">
      <c r="A32" t="inlineStr">
        <is>
          <t>A 61514-2022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46290</v>
      </c>
      <c r="F32" t="inlineStr">
        <is>
          <t>STOCKHOLMS LÄN</t>
        </is>
      </c>
      <c r="G32" t="inlineStr">
        <is>
          <t>BOTKYRKA</t>
        </is>
      </c>
      <c r="I32" t="n">
        <v>1.3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Vanlig groda</t>
        </is>
      </c>
      <c r="W32">
        <f>HYPERLINK("https://klasma.github.io/Logging_0127/artfynd/A 61514-2022 artfynd.xlsx", "A 61514-2022")</f>
        <v/>
      </c>
      <c r="X32">
        <f>HYPERLINK("https://klasma.github.io/Logging_0127/kartor/A 61514-2022 karta.png", "A 61514-2022")</f>
        <v/>
      </c>
      <c r="Y32">
        <f>HYPERLINK("https://klasma.github.io/Logging_0127/kartor_geotiff/A 61514-2022 georefererad karta.tif", "A 61514-2022")</f>
        <v/>
      </c>
      <c r="AA32">
        <f>HYPERLINK("https://klasma.github.io/Logging_0127/klagomål/A 61514-2022 FSC-klagomål.docx", "A 61514-2022")</f>
        <v/>
      </c>
      <c r="AB32">
        <f>HYPERLINK("https://klasma.github.io/Logging_0127/klagomålsmail/A 61514-2022 FSC-klagomål mail.docx", "A 61514-2022")</f>
        <v/>
      </c>
      <c r="AC32">
        <f>HYPERLINK("https://klasma.github.io/Logging_0127/tillsyn/A 61514-2022 tillsynsbegäran.docx", "A 61514-2022")</f>
        <v/>
      </c>
      <c r="AD32">
        <f>HYPERLINK("https://klasma.github.io/Logging_0127/tillsynsmail/A 61514-2022 tillsynsbegäran mail.docx", "A 61514-2022")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46290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46290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46290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46290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46290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14202-2025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45740</v>
      </c>
      <c r="E38" s="1" t="n">
        <v>46290</v>
      </c>
      <c r="F38" t="inlineStr">
        <is>
          <t>STOCKHOLMS LÄN</t>
        </is>
      </c>
      <c r="G38" t="inlineStr">
        <is>
          <t>BOTKYRKA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21285-2023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45062</v>
      </c>
      <c r="E39" s="1" t="n">
        <v>46290</v>
      </c>
      <c r="F39" t="inlineStr">
        <is>
          <t>STOCKHOLMS LÄN</t>
        </is>
      </c>
      <c r="G39" t="inlineStr">
        <is>
          <t>BOTKYRKA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30925-2023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46290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14217-2025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46290</v>
      </c>
      <c r="F41" t="inlineStr">
        <is>
          <t>STOCKHOLMS LÄN</t>
        </is>
      </c>
      <c r="G41" t="inlineStr">
        <is>
          <t>BOTKYRKA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73194-2021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44550</v>
      </c>
      <c r="E42" s="1" t="n">
        <v>46290</v>
      </c>
      <c r="F42" t="inlineStr">
        <is>
          <t>STOCKHOLMS LÄN</t>
        </is>
      </c>
      <c r="G42" t="inlineStr">
        <is>
          <t>BOTKYRKA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45029</v>
      </c>
      <c r="E43" s="1" t="n">
        <v>46290</v>
      </c>
      <c r="F43" t="inlineStr">
        <is>
          <t>STOCKHOLMS LÄN</t>
        </is>
      </c>
      <c r="G43" t="inlineStr">
        <is>
          <t>BOTKYRKA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44846</v>
      </c>
      <c r="E44" s="1" t="n">
        <v>46290</v>
      </c>
      <c r="F44" t="inlineStr">
        <is>
          <t>STOCKHOLMS LÄN</t>
        </is>
      </c>
      <c r="G44" t="inlineStr">
        <is>
          <t>BOTKYRKA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20649-2022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44700</v>
      </c>
      <c r="E45" s="1" t="n">
        <v>46290</v>
      </c>
      <c r="F45" t="inlineStr">
        <is>
          <t>STOCKHOLMS LÄN</t>
        </is>
      </c>
      <c r="G45" t="inlineStr">
        <is>
          <t>BOTKYRKA</t>
        </is>
      </c>
      <c r="H45" t="inlineStr">
        <is>
          <t>Övriga Aktiebolag</t>
        </is>
      </c>
      <c r="I45" t="n">
        <v>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8528-2024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45355</v>
      </c>
      <c r="E46" s="1" t="n">
        <v>46290</v>
      </c>
      <c r="F46" t="inlineStr">
        <is>
          <t>STOCKHOLMS LÄN</t>
        </is>
      </c>
      <c r="G46" t="inlineStr">
        <is>
          <t>BOTKYRKA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45869-2022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44844</v>
      </c>
      <c r="E47" s="1" t="n">
        <v>46290</v>
      </c>
      <c r="F47" t="inlineStr">
        <is>
          <t>STOCKHOLMS LÄN</t>
        </is>
      </c>
      <c r="G47" t="inlineStr">
        <is>
          <t>BOTKYRKA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46290</v>
      </c>
      <c r="F48" t="inlineStr">
        <is>
          <t>STOCKHOLMS LÄN</t>
        </is>
      </c>
      <c r="G48" t="inlineStr">
        <is>
          <t>BOTKYRKA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15692-2023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45020</v>
      </c>
      <c r="E49" s="1" t="n">
        <v>46290</v>
      </c>
      <c r="F49" t="inlineStr">
        <is>
          <t>STOCKHOLMS LÄN</t>
        </is>
      </c>
      <c r="G49" t="inlineStr">
        <is>
          <t>BOTKYRKA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73151-2021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44550</v>
      </c>
      <c r="E50" s="1" t="n">
        <v>46290</v>
      </c>
      <c r="F50" t="inlineStr">
        <is>
          <t>STOCKHOLMS LÄN</t>
        </is>
      </c>
      <c r="G50" t="inlineStr">
        <is>
          <t>BOTKYRKA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46290</v>
      </c>
      <c r="F51" t="inlineStr">
        <is>
          <t>STOCKHOLMS LÄN</t>
        </is>
      </c>
      <c r="G51" t="inlineStr">
        <is>
          <t>BOTKYRKA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46290</v>
      </c>
      <c r="F52" t="inlineStr">
        <is>
          <t>STOCKHOLMS LÄN</t>
        </is>
      </c>
      <c r="G52" t="inlineStr">
        <is>
          <t>BOTKYRKA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22391-2026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46154</v>
      </c>
      <c r="E53" s="1" t="n">
        <v>46290</v>
      </c>
      <c r="F53" t="inlineStr">
        <is>
          <t>STOCKHOLMS LÄN</t>
        </is>
      </c>
      <c r="G53" t="inlineStr">
        <is>
          <t>BOTKYRKA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73155-2021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46290</v>
      </c>
      <c r="F54" t="inlineStr">
        <is>
          <t>STOCKHOLMS LÄN</t>
        </is>
      </c>
      <c r="G54" t="inlineStr">
        <is>
          <t>BOTKYRKA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46290</v>
      </c>
      <c r="F55" t="inlineStr">
        <is>
          <t>STOCKHOLMS LÄN</t>
        </is>
      </c>
      <c r="G55" t="inlineStr">
        <is>
          <t>BOTKYRKA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23716-2026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46290</v>
      </c>
      <c r="F56" t="inlineStr">
        <is>
          <t>STOCKHOLMS LÄN</t>
        </is>
      </c>
      <c r="G56" t="inlineStr">
        <is>
          <t>BOTKYRKA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23718-2026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46164</v>
      </c>
      <c r="E57" s="1" t="n">
        <v>46290</v>
      </c>
      <c r="F57" t="inlineStr">
        <is>
          <t>STOCKHOLMS LÄN</t>
        </is>
      </c>
      <c r="G57" t="inlineStr">
        <is>
          <t>BOTKYRKA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48656-2022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44859</v>
      </c>
      <c r="E58" s="1" t="n">
        <v>46290</v>
      </c>
      <c r="F58" t="inlineStr">
        <is>
          <t>STOCKHOLMS LÄN</t>
        </is>
      </c>
      <c r="G58" t="inlineStr">
        <is>
          <t>BOTKYRKA</t>
        </is>
      </c>
      <c r="H58" t="inlineStr">
        <is>
          <t>Övriga Aktiebolag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38194-2022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46290</v>
      </c>
      <c r="F59" t="inlineStr">
        <is>
          <t>STOCKHOLMS LÄN</t>
        </is>
      </c>
      <c r="G59" t="inlineStr">
        <is>
          <t>BOTKYRKA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11867-2024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45376</v>
      </c>
      <c r="E60" s="1" t="n">
        <v>46290</v>
      </c>
      <c r="F60" t="inlineStr">
        <is>
          <t>STOCKHOLMS LÄN</t>
        </is>
      </c>
      <c r="G60" t="inlineStr">
        <is>
          <t>BOTKYRKA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12306-2026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46087</v>
      </c>
      <c r="E61" s="1" t="n">
        <v>46290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12294-2026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46087</v>
      </c>
      <c r="E62" s="1" t="n">
        <v>46290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27717-2026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46190</v>
      </c>
      <c r="E63" s="1" t="n">
        <v>46290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25217-2024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45462</v>
      </c>
      <c r="E64" s="1" t="n">
        <v>46290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30622-2024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45495</v>
      </c>
      <c r="E65" s="1" t="n">
        <v>46290</v>
      </c>
      <c r="F65" t="inlineStr">
        <is>
          <t>STOCKHOLMS LÄN</t>
        </is>
      </c>
      <c r="G65" t="inlineStr">
        <is>
          <t>BOTKYRKA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16145-2024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46290</v>
      </c>
      <c r="F66" t="inlineStr">
        <is>
          <t>STOCKHOLMS LÄN</t>
        </is>
      </c>
      <c r="G66" t="inlineStr">
        <is>
          <t>BOTKYRKA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35108-2026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46258</v>
      </c>
      <c r="E67" s="1" t="n">
        <v>46290</v>
      </c>
      <c r="F67" t="inlineStr">
        <is>
          <t>STOCKHOLMS LÄN</t>
        </is>
      </c>
      <c r="G67" t="inlineStr">
        <is>
          <t>BOTKYRKA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45678</v>
      </c>
      <c r="E68" s="1" t="n">
        <v>46290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44599</v>
      </c>
      <c r="E69" s="1" t="n">
        <v>46290</v>
      </c>
      <c r="F69" t="inlineStr">
        <is>
          <t>STOCKHOLMS LÄN</t>
        </is>
      </c>
      <c r="G69" t="inlineStr">
        <is>
          <t>BOTKYRKA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16142-2024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45406</v>
      </c>
      <c r="E70" s="1" t="n">
        <v>46290</v>
      </c>
      <c r="F70" t="inlineStr">
        <is>
          <t>STOCKHOLMS LÄN</t>
        </is>
      </c>
      <c r="G70" t="inlineStr">
        <is>
          <t>BOTKYRKA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45376</v>
      </c>
      <c r="E71" s="1" t="n">
        <v>46290</v>
      </c>
      <c r="F71" t="inlineStr">
        <is>
          <t>STOCKHOLMS LÄN</t>
        </is>
      </c>
      <c r="G71" t="inlineStr">
        <is>
          <t>BOTKYRKA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380-2026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46065</v>
      </c>
      <c r="E72" s="1" t="n">
        <v>46290</v>
      </c>
      <c r="F72" t="inlineStr">
        <is>
          <t>STOCKHOLMS LÄN</t>
        </is>
      </c>
      <c r="G72" t="inlineStr">
        <is>
          <t>BOTKYRKA</t>
        </is>
      </c>
      <c r="H72" t="inlineStr">
        <is>
          <t>Kommuner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2026-09-25T02:04:42Z</dcterms:created>
  <dcterms:modified xmlns:dcterms="http://purl.org/dc/terms/" xmlns:xsi="http://www.w3.org/2001/XMLSchema-instance" xsi:type="dcterms:W3CDTF">2026-09-25T02:04:42Z</dcterms:modified>
</cp:coreProperties>
</file>