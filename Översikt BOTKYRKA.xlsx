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45345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45345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45345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45345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45345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45345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45345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45345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45345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57725-2018</t>
        </is>
      </c>
      <c r="B11" s="1" t="n">
        <v>43405</v>
      </c>
      <c r="C11" s="1" t="n">
        <v>45345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HYPERLINK("https://klasma.github.io/Logging_0127/artfynd/A 57725-2018 artfynd.xlsx", "A 57725-2018")</f>
        <v/>
      </c>
      <c r="T11">
        <f>HYPERLINK("https://klasma.github.io/Logging_0127/kartor/A 57725-2018 karta.png", "A 57725-2018")</f>
        <v/>
      </c>
      <c r="V11">
        <f>HYPERLINK("https://klasma.github.io/Logging_0127/klagomål/A 57725-2018 FSC-klagomål.docx", "A 57725-2018")</f>
        <v/>
      </c>
      <c r="W11">
        <f>HYPERLINK("https://klasma.github.io/Logging_0127/klagomålsmail/A 57725-2018 FSC-klagomål mail.docx", "A 57725-2018")</f>
        <v/>
      </c>
      <c r="X11">
        <f>HYPERLINK("https://klasma.github.io/Logging_0127/tillsyn/A 57725-2018 tillsynsbegäran.docx", "A 57725-2018")</f>
        <v/>
      </c>
      <c r="Y11">
        <f>HYPERLINK("https://klasma.github.io/Logging_0127/tillsynsmail/A 57725-2018 tillsynsbegäran mail.docx", "A 57725-2018")</f>
        <v/>
      </c>
    </row>
    <row r="12" ht="15" customHeight="1">
      <c r="A12" t="inlineStr">
        <is>
          <t>A 16236-2020</t>
        </is>
      </c>
      <c r="B12" s="1" t="n">
        <v>43917</v>
      </c>
      <c r="C12" s="1" t="n">
        <v>45345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HYPERLINK("https://klasma.github.io/Logging_0127/artfynd/A 16236-2020 artfynd.xlsx", "A 16236-2020")</f>
        <v/>
      </c>
      <c r="T12">
        <f>HYPERLINK("https://klasma.github.io/Logging_0127/kartor/A 16236-2020 karta.png", "A 16236-2020")</f>
        <v/>
      </c>
      <c r="V12">
        <f>HYPERLINK("https://klasma.github.io/Logging_0127/klagomål/A 16236-2020 FSC-klagomål.docx", "A 16236-2020")</f>
        <v/>
      </c>
      <c r="W12">
        <f>HYPERLINK("https://klasma.github.io/Logging_0127/klagomålsmail/A 16236-2020 FSC-klagomål mail.docx", "A 16236-2020")</f>
        <v/>
      </c>
      <c r="X12">
        <f>HYPERLINK("https://klasma.github.io/Logging_0127/tillsyn/A 16236-2020 tillsynsbegäran.docx", "A 16236-2020")</f>
        <v/>
      </c>
      <c r="Y12">
        <f>HYPERLINK("https://klasma.github.io/Logging_0127/tillsynsmail/A 16236-2020 tillsynsbegäran mail.docx", "A 16236-2020")</f>
        <v/>
      </c>
    </row>
    <row r="13" ht="15" customHeight="1">
      <c r="A13" t="inlineStr">
        <is>
          <t>A 34971-2020</t>
        </is>
      </c>
      <c r="B13" s="1" t="n">
        <v>44039</v>
      </c>
      <c r="C13" s="1" t="n">
        <v>45345</v>
      </c>
      <c r="D13" t="inlineStr">
        <is>
          <t>STOCKHOLMS LÄN</t>
        </is>
      </c>
      <c r="E13" t="inlineStr">
        <is>
          <t>BOTKYRKA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34971-2020 artfynd.xlsx", "A 34971-2020")</f>
        <v/>
      </c>
      <c r="T13">
        <f>HYPERLINK("https://klasma.github.io/Logging_0127/kartor/A 34971-2020 karta.png", "A 34971-2020")</f>
        <v/>
      </c>
      <c r="V13">
        <f>HYPERLINK("https://klasma.github.io/Logging_0127/klagomål/A 34971-2020 FSC-klagomål.docx", "A 34971-2020")</f>
        <v/>
      </c>
      <c r="W13">
        <f>HYPERLINK("https://klasma.github.io/Logging_0127/klagomålsmail/A 34971-2020 FSC-klagomål mail.docx", "A 34971-2020")</f>
        <v/>
      </c>
      <c r="X13">
        <f>HYPERLINK("https://klasma.github.io/Logging_0127/tillsyn/A 34971-2020 tillsynsbegäran.docx", "A 34971-2020")</f>
        <v/>
      </c>
      <c r="Y13">
        <f>HYPERLINK("https://klasma.github.io/Logging_0127/tillsynsmail/A 34971-2020 tillsynsbegäran mail.docx", "A 34971-2020")</f>
        <v/>
      </c>
    </row>
    <row r="14" ht="15" customHeight="1">
      <c r="A14" t="inlineStr">
        <is>
          <t>A 10469-2022</t>
        </is>
      </c>
      <c r="B14" s="1" t="n">
        <v>44623</v>
      </c>
      <c r="C14" s="1" t="n">
        <v>45345</v>
      </c>
      <c r="D14" t="inlineStr">
        <is>
          <t>STOCKHOLMS LÄN</t>
        </is>
      </c>
      <c r="E14" t="inlineStr">
        <is>
          <t>BOTKYRKA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10469-2022 artfynd.xlsx", "A 10469-2022")</f>
        <v/>
      </c>
      <c r="T14">
        <f>HYPERLINK("https://klasma.github.io/Logging_0127/kartor/A 10469-2022 karta.png", "A 10469-2022")</f>
        <v/>
      </c>
      <c r="V14">
        <f>HYPERLINK("https://klasma.github.io/Logging_0127/klagomål/A 10469-2022 FSC-klagomål.docx", "A 10469-2022")</f>
        <v/>
      </c>
      <c r="W14">
        <f>HYPERLINK("https://klasma.github.io/Logging_0127/klagomålsmail/A 10469-2022 FSC-klagomål mail.docx", "A 10469-2022")</f>
        <v/>
      </c>
      <c r="X14">
        <f>HYPERLINK("https://klasma.github.io/Logging_0127/tillsyn/A 10469-2022 tillsynsbegäran.docx", "A 10469-2022")</f>
        <v/>
      </c>
      <c r="Y14">
        <f>HYPERLINK("https://klasma.github.io/Logging_0127/tillsynsmail/A 10469-2022 tillsynsbegäran mail.docx", "A 10469-2022")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45345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45345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5574-2023</t>
        </is>
      </c>
      <c r="B17" s="1" t="n">
        <v>44960</v>
      </c>
      <c r="C17" s="1" t="n">
        <v>45345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5574-2023 artfynd.xlsx", "A 5574-2023")</f>
        <v/>
      </c>
      <c r="T17">
        <f>HYPERLINK("https://klasma.github.io/Logging_0127/kartor/A 5574-2023 karta.png", "A 5574-2023")</f>
        <v/>
      </c>
      <c r="V17">
        <f>HYPERLINK("https://klasma.github.io/Logging_0127/klagomål/A 5574-2023 FSC-klagomål.docx", "A 5574-2023")</f>
        <v/>
      </c>
      <c r="W17">
        <f>HYPERLINK("https://klasma.github.io/Logging_0127/klagomålsmail/A 5574-2023 FSC-klagomål mail.docx", "A 5574-2023")</f>
        <v/>
      </c>
      <c r="X17">
        <f>HYPERLINK("https://klasma.github.io/Logging_0127/tillsyn/A 5574-2023 tillsynsbegäran.docx", "A 5574-2023")</f>
        <v/>
      </c>
      <c r="Y17">
        <f>HYPERLINK("https://klasma.github.io/Logging_0127/tillsynsmail/A 5574-2023 tillsynsbegäran mail.docx", "A 5574-2023")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45345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59769-2018</t>
        </is>
      </c>
      <c r="B19" s="1" t="n">
        <v>43411</v>
      </c>
      <c r="C19" s="1" t="n">
        <v>45345</v>
      </c>
      <c r="D19" t="inlineStr">
        <is>
          <t>STOCKHOLMS LÄN</t>
        </is>
      </c>
      <c r="E19" t="inlineStr">
        <is>
          <t>BOTKYRKA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60094-2018</t>
        </is>
      </c>
      <c r="B20" s="1" t="n">
        <v>43412</v>
      </c>
      <c r="C20" s="1" t="n">
        <v>45345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59890-2018</t>
        </is>
      </c>
      <c r="B21" s="1" t="n">
        <v>43419</v>
      </c>
      <c r="C21" s="1" t="n">
        <v>45345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66176-2018</t>
        </is>
      </c>
      <c r="B22" s="1" t="n">
        <v>43434</v>
      </c>
      <c r="C22" s="1" t="n">
        <v>45345</v>
      </c>
      <c r="D22" t="inlineStr">
        <is>
          <t>STOCKHOLMS LÄN</t>
        </is>
      </c>
      <c r="E22" t="inlineStr">
        <is>
          <t>BOTKYRKA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68832-2018</t>
        </is>
      </c>
      <c r="B23" s="1" t="n">
        <v>43439</v>
      </c>
      <c r="C23" s="1" t="n">
        <v>45345</v>
      </c>
      <c r="D23" t="inlineStr">
        <is>
          <t>STOCKHOLMS LÄN</t>
        </is>
      </c>
      <c r="E23" t="inlineStr">
        <is>
          <t>BOTKYRKA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8523-2019</t>
        </is>
      </c>
      <c r="B24" s="1" t="n">
        <v>43502</v>
      </c>
      <c r="C24" s="1" t="n">
        <v>45345</v>
      </c>
      <c r="D24" t="inlineStr">
        <is>
          <t>STOCKHOLMS LÄN</t>
        </is>
      </c>
      <c r="E24" t="inlineStr">
        <is>
          <t>BOTKYRKA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40642-2019</t>
        </is>
      </c>
      <c r="B25" s="1" t="n">
        <v>43696</v>
      </c>
      <c r="C25" s="1" t="n">
        <v>45345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45345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45345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45345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2554-2020</t>
        </is>
      </c>
      <c r="B29" s="1" t="n">
        <v>43847</v>
      </c>
      <c r="C29" s="1" t="n">
        <v>45345</v>
      </c>
      <c r="D29" t="inlineStr">
        <is>
          <t>STOCKHOLMS LÄN</t>
        </is>
      </c>
      <c r="E29" t="inlineStr">
        <is>
          <t>BOTKYRKA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5953-2020</t>
        </is>
      </c>
      <c r="B30" s="1" t="n">
        <v>43864</v>
      </c>
      <c r="C30" s="1" t="n">
        <v>45345</v>
      </c>
      <c r="D30" t="inlineStr">
        <is>
          <t>STOCKHOLMS LÄN</t>
        </is>
      </c>
      <c r="E30" t="inlineStr">
        <is>
          <t>BOTKYRKA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45345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45345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45345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45345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45345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45345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45345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45345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45345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45345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45345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45345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45345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45345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45345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45345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45345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45345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45345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45345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45345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45345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45345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45345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45345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45345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45345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45345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45345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45345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56816-2021</t>
        </is>
      </c>
      <c r="B61" s="1" t="n">
        <v>44481</v>
      </c>
      <c r="C61" s="1" t="n">
        <v>45345</v>
      </c>
      <c r="D61" t="inlineStr">
        <is>
          <t>STOCKHOLMS LÄN</t>
        </is>
      </c>
      <c r="E61" t="inlineStr">
        <is>
          <t>BOTKYRKA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45345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45345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45345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45345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45345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45345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45345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45345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45345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45345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45345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45345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45345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45345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45345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45345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45345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45345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45345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45345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45345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45345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45345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45345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45345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45345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45345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45345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45345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45345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45345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45345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45345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45345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45345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45345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45345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45345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45345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45345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45345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45345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45345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45345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45345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45345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45345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45345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45345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45345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45345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46942-2023</t>
        </is>
      </c>
      <c r="B113" s="1" t="n">
        <v>45195</v>
      </c>
      <c r="C113" s="1" t="n">
        <v>45345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45345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45345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45345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45345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45345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45345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6962-2024</t>
        </is>
      </c>
      <c r="B120" s="1" t="n">
        <v>45343</v>
      </c>
      <c r="C120" s="1" t="n">
        <v>45345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6978-2024</t>
        </is>
      </c>
      <c r="B121" s="1" t="n">
        <v>45343</v>
      </c>
      <c r="C121" s="1" t="n">
        <v>45345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2024-02-23T06:50:13Z</dcterms:created>
  <dcterms:modified xmlns:dcterms="http://purl.org/dc/terms/" xmlns:xsi="http://www.w3.org/2001/XMLSchema-instance" xsi:type="dcterms:W3CDTF">2024-02-23T06:50:14Z</dcterms:modified>
</cp:coreProperties>
</file>