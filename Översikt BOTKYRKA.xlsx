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46236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46236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46236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24599-2022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44727</v>
      </c>
      <c r="E5" s="1" t="n">
        <v>46236</v>
      </c>
      <c r="F5" t="inlineStr">
        <is>
          <t>STOCKHOLMS LÄN</t>
        </is>
      </c>
      <c r="G5" t="inlineStr">
        <is>
          <t>BOTKYRKA</t>
        </is>
      </c>
      <c r="I5" t="n">
        <v>1.5</v>
      </c>
      <c r="J5" t="n">
        <v>3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10</v>
      </c>
      <c r="T5" t="n">
        <v>11</v>
      </c>
      <c r="U5" t="n">
        <v>3</v>
      </c>
      <c r="V5" s="2" t="inlineStr">
        <is>
          <t>Mindre bastardsvärmare
Sexfläckig bastardsvärmare
Almsnabbvinge
Mindre tåtelsmygare
Igelkottsröksvamp
Mandelriska
Sotriska
Mattlummer
Vanlig groda
Vanlig padda</t>
        </is>
      </c>
      <c r="W5">
        <f>HYPERLINK("https://klasma.github.io/Logging_0127/artfynd/A 24599-2022 artfynd.xlsx", "A 24599-2022")</f>
        <v/>
      </c>
      <c r="X5">
        <f>HYPERLINK("https://klasma.github.io/Logging_0127/kartor/A 24599-2022 karta.png", "A 24599-2022")</f>
        <v/>
      </c>
      <c r="Y5">
        <f>HYPERLINK("https://klasma.github.io/Logging_0127/kartor_geotiff/A 24599-2022 georefererad karta.tif", "A 24599-2022")</f>
        <v/>
      </c>
      <c r="AA5">
        <f>HYPERLINK("https://klasma.github.io/Logging_0127/klagomål/A 24599-2022 FSC-klagomål.docx", "A 24599-2022")</f>
        <v/>
      </c>
      <c r="AB5">
        <f>HYPERLINK("https://klasma.github.io/Logging_0127/klagomålsmail/A 24599-2022 FSC-klagomål mail.docx", "A 24599-2022")</f>
        <v/>
      </c>
      <c r="AC5">
        <f>HYPERLINK("https://klasma.github.io/Logging_0127/tillsyn/A 24599-2022 tillsynsbegäran.docx", "A 24599-2022")</f>
        <v/>
      </c>
      <c r="AD5">
        <f>HYPERLINK("https://klasma.github.io/Logging_0127/tillsynsmail/A 24599-2022 tillsynsbegäran mail.docx", "A 24599-2022")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46236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46236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46236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46236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46236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46236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46236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46236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46236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46236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46236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46236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46236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46236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46236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46236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46236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46236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46236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46236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46236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61514-2022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44916</v>
      </c>
      <c r="E27" s="1" t="n">
        <v>46236</v>
      </c>
      <c r="F27" t="inlineStr">
        <is>
          <t>STOCKHOLMS LÄN</t>
        </is>
      </c>
      <c r="G27" t="inlineStr">
        <is>
          <t>BOTKYRKA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Vanlig groda</t>
        </is>
      </c>
      <c r="W27">
        <f>HYPERLINK("https://klasma.github.io/Logging_0127/artfynd/A 61514-2022 artfynd.xlsx", "A 61514-2022")</f>
        <v/>
      </c>
      <c r="X27">
        <f>HYPERLINK("https://klasma.github.io/Logging_0127/kartor/A 61514-2022 karta.png", "A 61514-2022")</f>
        <v/>
      </c>
      <c r="Y27">
        <f>HYPERLINK("https://klasma.github.io/Logging_0127/kartor_geotiff/A 61514-2022 georefererad karta.tif", "A 61514-2022")</f>
        <v/>
      </c>
      <c r="AA27">
        <f>HYPERLINK("https://klasma.github.io/Logging_0127/klagomål/A 61514-2022 FSC-klagomål.docx", "A 61514-2022")</f>
        <v/>
      </c>
      <c r="AB27">
        <f>HYPERLINK("https://klasma.github.io/Logging_0127/klagomålsmail/A 61514-2022 FSC-klagomål mail.docx", "A 61514-2022")</f>
        <v/>
      </c>
      <c r="AC27">
        <f>HYPERLINK("https://klasma.github.io/Logging_0127/tillsyn/A 61514-2022 tillsynsbegäran.docx", "A 61514-2022")</f>
        <v/>
      </c>
      <c r="AD27">
        <f>HYPERLINK("https://klasma.github.io/Logging_0127/tillsynsmail/A 61514-2022 tillsynsbegäran mail.docx", "A 61514-2022")</f>
        <v/>
      </c>
    </row>
    <row r="28" ht="15" customHeight="1">
      <c r="A28" t="inlineStr">
        <is>
          <t>A 14214-2025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46236</v>
      </c>
      <c r="F28" t="inlineStr">
        <is>
          <t>STOCKHOLMS LÄN</t>
        </is>
      </c>
      <c r="G28" t="inlineStr">
        <is>
          <t>BOTKYRKA</t>
        </is>
      </c>
      <c r="I28" t="n">
        <v>2.5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2</v>
      </c>
      <c r="V28" s="2" t="inlineStr">
        <is>
          <t>Stare</t>
        </is>
      </c>
      <c r="W28">
        <f>HYPERLINK("https://klasma.github.io/Logging_0127/artfynd/A 14214-2025 artfynd.xlsx", "A 14214-2025")</f>
        <v/>
      </c>
      <c r="X28">
        <f>HYPERLINK("https://klasma.github.io/Logging_0127/kartor/A 14214-2025 karta.png", "A 14214-2025")</f>
        <v/>
      </c>
      <c r="Y28">
        <f>HYPERLINK("https://klasma.github.io/Logging_0127/kartor_geotiff/A 14214-2025 georefererad karta.tif", "A 14214-2025")</f>
        <v/>
      </c>
      <c r="AA28">
        <f>HYPERLINK("https://klasma.github.io/Logging_0127/klagomål/A 14214-2025 FSC-klagomål.docx", "A 14214-2025")</f>
        <v/>
      </c>
      <c r="AB28">
        <f>HYPERLINK("https://klasma.github.io/Logging_0127/klagomålsmail/A 14214-2025 FSC-klagomål mail.docx", "A 14214-2025")</f>
        <v/>
      </c>
      <c r="AC28">
        <f>HYPERLINK("https://klasma.github.io/Logging_0127/tillsyn/A 14214-2025 tillsynsbegäran.docx", "A 14214-2025")</f>
        <v/>
      </c>
      <c r="AD28">
        <f>HYPERLINK("https://klasma.github.io/Logging_0127/tillsynsmail/A 14214-2025 tillsynsbegäran mail.docx", "A 14214-2025")</f>
        <v/>
      </c>
      <c r="AE28">
        <f>HYPERLINK("https://klasma.github.io/Logging_0127/fåglar/A 14214-2025 prioriterade fågelarter.docx", "A 14214-2025")</f>
        <v/>
      </c>
    </row>
    <row r="29" ht="15" customHeight="1">
      <c r="A29" t="inlineStr">
        <is>
          <t>A 1691-2023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44938</v>
      </c>
      <c r="E29" s="1" t="n">
        <v>46236</v>
      </c>
      <c r="F29" t="inlineStr">
        <is>
          <t>STOCKHOLMS LÄN</t>
        </is>
      </c>
      <c r="G29" t="inlineStr">
        <is>
          <t>BOTKYRKA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HYPERLINK("https://klasma.github.io/Logging_0127/artfynd/A 1691-2023 artfynd.xlsx", "A 1691-2023")</f>
        <v/>
      </c>
      <c r="X29">
        <f>HYPERLINK("https://klasma.github.io/Logging_0127/kartor/A 1691-2023 karta.png", "A 1691-2023")</f>
        <v/>
      </c>
      <c r="Y29">
        <f>HYPERLINK("https://klasma.github.io/Logging_0127/kartor_geotiff/A 1691-2023 georefererad karta.tif", "A 1691-2023")</f>
        <v/>
      </c>
      <c r="AA29">
        <f>HYPERLINK("https://klasma.github.io/Logging_0127/klagomål/A 1691-2023 FSC-klagomål.docx", "A 1691-2023")</f>
        <v/>
      </c>
      <c r="AB29">
        <f>HYPERLINK("https://klasma.github.io/Logging_0127/klagomålsmail/A 1691-2023 FSC-klagomål mail.docx", "A 1691-2023")</f>
        <v/>
      </c>
      <c r="AC29">
        <f>HYPERLINK("https://klasma.github.io/Logging_0127/tillsyn/A 1691-2023 tillsynsbegäran.docx", "A 1691-2023")</f>
        <v/>
      </c>
      <c r="AD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46236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Blomkålssvamp</t>
        </is>
      </c>
      <c r="W30">
        <f>HYPERLINK("https://klasma.github.io/Logging_0127/artfynd/A 3726-2022 artfynd.xlsx", "A 3726-2022")</f>
        <v/>
      </c>
      <c r="X30">
        <f>HYPERLINK("https://klasma.github.io/Logging_0127/kartor/A 3726-2022 karta.png", "A 3726-2022")</f>
        <v/>
      </c>
      <c r="Y30">
        <f>HYPERLINK("https://klasma.github.io/Logging_0127/kartor_geotiff/A 3726-2022 georefererad karta.tif", "A 3726-2022")</f>
        <v/>
      </c>
      <c r="AA30">
        <f>HYPERLINK("https://klasma.github.io/Logging_0127/klagomål/A 3726-2022 FSC-klagomål.docx", "A 3726-2022")</f>
        <v/>
      </c>
      <c r="AB30">
        <f>HYPERLINK("https://klasma.github.io/Logging_0127/klagomålsmail/A 3726-2022 FSC-klagomål mail.docx", "A 3726-2022")</f>
        <v/>
      </c>
      <c r="AC30">
        <f>HYPERLINK("https://klasma.github.io/Logging_0127/tillsyn/A 3726-2022 tillsynsbegäran.docx", "A 3726-2022")</f>
        <v/>
      </c>
      <c r="AD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45020</v>
      </c>
      <c r="E31" s="1" t="n">
        <v>46236</v>
      </c>
      <c r="F31" t="inlineStr">
        <is>
          <t>STOCKHOLMS LÄN</t>
        </is>
      </c>
      <c r="G31" t="inlineStr">
        <is>
          <t>BOTKYRKA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HYPERLINK("https://klasma.github.io/Logging_0127/artfynd/A 15690-2023 artfynd.xlsx", "A 15690-2023")</f>
        <v/>
      </c>
      <c r="X31">
        <f>HYPERLINK("https://klasma.github.io/Logging_0127/kartor/A 15690-2023 karta.png", "A 15690-2023")</f>
        <v/>
      </c>
      <c r="Y31">
        <f>HYPERLINK("https://klasma.github.io/Logging_0127/kartor_geotiff/A 15690-2023 georefererad karta.tif", "A 15690-2023")</f>
        <v/>
      </c>
      <c r="AA31">
        <f>HYPERLINK("https://klasma.github.io/Logging_0127/klagomål/A 15690-2023 FSC-klagomål.docx", "A 15690-2023")</f>
        <v/>
      </c>
      <c r="AB31">
        <f>HYPERLINK("https://klasma.github.io/Logging_0127/klagomålsmail/A 15690-2023 FSC-klagomål mail.docx", "A 15690-2023")</f>
        <v/>
      </c>
      <c r="AC31">
        <f>HYPERLINK("https://klasma.github.io/Logging_0127/tillsyn/A 15690-2023 tillsynsbegäran.docx", "A 15690-2023")</f>
        <v/>
      </c>
      <c r="AD31">
        <f>HYPERLINK("https://klasma.github.io/Logging_0127/tillsynsmail/A 15690-2023 tillsynsbegäran mail.docx", "A 15690-2023")</f>
        <v/>
      </c>
    </row>
    <row r="32" ht="15" customHeight="1">
      <c r="A32" t="inlineStr">
        <is>
          <t>A 12305-2026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46236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2.4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HYPERLINK("https://klasma.github.io/Logging_0127/artfynd/A 12305-2026 artfynd.xlsx", "A 12305-2026")</f>
        <v/>
      </c>
      <c r="X32">
        <f>HYPERLINK("https://klasma.github.io/Logging_0127/kartor/A 12305-2026 karta.png", "A 12305-2026")</f>
        <v/>
      </c>
      <c r="Y32">
        <f>HYPERLINK("https://klasma.github.io/Logging_0127/kartor_geotiff/A 12305-2026 georefererad karta.tif", "A 12305-2026")</f>
        <v/>
      </c>
      <c r="AA32">
        <f>HYPERLINK("https://klasma.github.io/Logging_0127/klagomål/A 12305-2026 FSC-klagomål.docx", "A 12305-2026")</f>
        <v/>
      </c>
      <c r="AB32">
        <f>HYPERLINK("https://klasma.github.io/Logging_0127/klagomålsmail/A 12305-2026 FSC-klagomål mail.docx", "A 12305-2026")</f>
        <v/>
      </c>
      <c r="AC32">
        <f>HYPERLINK("https://klasma.github.io/Logging_0127/tillsyn/A 12305-2026 tillsynsbegäran.docx", "A 12305-2026")</f>
        <v/>
      </c>
      <c r="AD32">
        <f>HYPERLINK("https://klasma.github.io/Logging_0127/tillsynsmail/A 12305-2026 tillsynsbegäran mail.docx", "A 12305-2026")</f>
        <v/>
      </c>
      <c r="AE32">
        <f>HYPERLINK("https://klasma.github.io/Logging_0127/fåglar/A 12305-2026 prioriterade fågelarter.docx", "A 12305-2026")</f>
        <v/>
      </c>
    </row>
    <row r="33" ht="15" customHeight="1">
      <c r="A33" t="inlineStr">
        <is>
          <t>A 12590-2026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46090</v>
      </c>
      <c r="E33" s="1" t="n">
        <v>46236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1.5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hackspett</t>
        </is>
      </c>
      <c r="W33">
        <f>HYPERLINK("https://klasma.github.io/Logging_0127/artfynd/A 12590-2026 artfynd.xlsx", "A 12590-2026")</f>
        <v/>
      </c>
      <c r="X33">
        <f>HYPERLINK("https://klasma.github.io/Logging_0127/kartor/A 12590-2026 karta.png", "A 12590-2026")</f>
        <v/>
      </c>
      <c r="Y33">
        <f>HYPERLINK("https://klasma.github.io/Logging_0127/kartor_geotiff/A 12590-2026 georefererad karta.tif", "A 12590-2026")</f>
        <v/>
      </c>
      <c r="AA33">
        <f>HYPERLINK("https://klasma.github.io/Logging_0127/klagomål/A 12590-2026 FSC-klagomål.docx", "A 12590-2026")</f>
        <v/>
      </c>
      <c r="AB33">
        <f>HYPERLINK("https://klasma.github.io/Logging_0127/klagomålsmail/A 12590-2026 FSC-klagomål mail.docx", "A 12590-2026")</f>
        <v/>
      </c>
      <c r="AC33">
        <f>HYPERLINK("https://klasma.github.io/Logging_0127/tillsyn/A 12590-2026 tillsynsbegäran.docx", "A 12590-2026")</f>
        <v/>
      </c>
      <c r="AD33">
        <f>HYPERLINK("https://klasma.github.io/Logging_0127/tillsynsmail/A 12590-2026 tillsynsbegäran mail.docx", "A 12590-2026")</f>
        <v/>
      </c>
      <c r="AE33">
        <f>HYPERLINK("https://klasma.github.io/Logging_0127/fåglar/A 12590-2026 prioriterade fågelarter.docx", "A 12590-2026")</f>
        <v/>
      </c>
    </row>
    <row r="34" ht="15" customHeight="1">
      <c r="A34" t="inlineStr">
        <is>
          <t>A 12842-2026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46236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1.7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Fyrflikig jordstjärna</t>
        </is>
      </c>
      <c r="W34">
        <f>HYPERLINK("https://klasma.github.io/Logging_0127/artfynd/A 12842-2026 artfynd.xlsx", "A 12842-2026")</f>
        <v/>
      </c>
      <c r="X34">
        <f>HYPERLINK("https://klasma.github.io/Logging_0127/kartor/A 12842-2026 karta.png", "A 12842-2026")</f>
        <v/>
      </c>
      <c r="Y34">
        <f>HYPERLINK("https://klasma.github.io/Logging_0127/kartor_geotiff/A 12842-2026 georefererad karta.tif", "A 12842-2026")</f>
        <v/>
      </c>
      <c r="AA34">
        <f>HYPERLINK("https://klasma.github.io/Logging_0127/klagomål/A 12842-2026 FSC-klagomål.docx", "A 12842-2026")</f>
        <v/>
      </c>
      <c r="AB34">
        <f>HYPERLINK("https://klasma.github.io/Logging_0127/klagomålsmail/A 12842-2026 FSC-klagomål mail.docx", "A 12842-2026")</f>
        <v/>
      </c>
      <c r="AC34">
        <f>HYPERLINK("https://klasma.github.io/Logging_0127/tillsyn/A 12842-2026 tillsynsbegäran.docx", "A 12842-2026")</f>
        <v/>
      </c>
      <c r="AD34">
        <f>HYPERLINK("https://klasma.github.io/Logging_0127/tillsynsmail/A 12842-2026 tillsynsbegäran mail.docx", "A 12842-2026")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46236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46236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46236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52035-2021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44463</v>
      </c>
      <c r="E38" s="1" t="n">
        <v>46236</v>
      </c>
      <c r="F38" t="inlineStr">
        <is>
          <t>STOCKHOLMS LÄN</t>
        </is>
      </c>
      <c r="G38" t="inlineStr">
        <is>
          <t>BOTKYRKA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46236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73772-2021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44552</v>
      </c>
      <c r="E40" s="1" t="n">
        <v>46236</v>
      </c>
      <c r="F40" t="inlineStr">
        <is>
          <t>STOCKHOLMS LÄN</t>
        </is>
      </c>
      <c r="G40" t="inlineStr">
        <is>
          <t>BOTKYRKA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9032-2023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44979</v>
      </c>
      <c r="E41" s="1" t="n">
        <v>46236</v>
      </c>
      <c r="F41" t="inlineStr">
        <is>
          <t>STOCKHOLMS LÄN</t>
        </is>
      </c>
      <c r="G41" t="inlineStr">
        <is>
          <t>BOTKYRKA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48656-2022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44859</v>
      </c>
      <c r="E42" s="1" t="n">
        <v>46236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46236</v>
      </c>
      <c r="F43" t="inlineStr">
        <is>
          <t>STOCKHOLMS LÄN</t>
        </is>
      </c>
      <c r="G43" t="inlineStr">
        <is>
          <t>BOTKYRKA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46236</v>
      </c>
      <c r="F44" t="inlineStr">
        <is>
          <t>STOCKHOLMS LÄN</t>
        </is>
      </c>
      <c r="G44" t="inlineStr">
        <is>
          <t>BOTKYRKA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25217-2024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45462</v>
      </c>
      <c r="E45" s="1" t="n">
        <v>46236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46405-2022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44846</v>
      </c>
      <c r="E46" s="1" t="n">
        <v>46236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46236</v>
      </c>
      <c r="F47" t="inlineStr">
        <is>
          <t>STOCKHOLMS LÄN</t>
        </is>
      </c>
      <c r="G47" t="inlineStr">
        <is>
          <t>BOTKYRKA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45020</v>
      </c>
      <c r="E48" s="1" t="n">
        <v>46236</v>
      </c>
      <c r="F48" t="inlineStr">
        <is>
          <t>STOCKHOLMS LÄN</t>
        </is>
      </c>
      <c r="G48" t="inlineStr">
        <is>
          <t>BOTKYRKA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14202-2025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45740</v>
      </c>
      <c r="E49" s="1" t="n">
        <v>46236</v>
      </c>
      <c r="F49" t="inlineStr">
        <is>
          <t>STOCKHOLMS LÄN</t>
        </is>
      </c>
      <c r="G49" t="inlineStr">
        <is>
          <t>BOTKYRKA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45029</v>
      </c>
      <c r="E50" s="1" t="n">
        <v>46236</v>
      </c>
      <c r="F50" t="inlineStr">
        <is>
          <t>STOCKHOLMS LÄN</t>
        </is>
      </c>
      <c r="G50" t="inlineStr">
        <is>
          <t>BOTKYRKA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46154</v>
      </c>
      <c r="E51" s="1" t="n">
        <v>46236</v>
      </c>
      <c r="F51" t="inlineStr">
        <is>
          <t>STOCKHOLMS LÄN</t>
        </is>
      </c>
      <c r="G51" t="inlineStr">
        <is>
          <t>BOTKYRKA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21285-2023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45062</v>
      </c>
      <c r="E52" s="1" t="n">
        <v>46236</v>
      </c>
      <c r="F52" t="inlineStr">
        <is>
          <t>STOCKHOLMS LÄN</t>
        </is>
      </c>
      <c r="G52" t="inlineStr">
        <is>
          <t>BOTKYRKA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45965</v>
      </c>
      <c r="E53" s="1" t="n">
        <v>46236</v>
      </c>
      <c r="F53" t="inlineStr">
        <is>
          <t>STOCKHOLMS LÄN</t>
        </is>
      </c>
      <c r="G53" t="inlineStr">
        <is>
          <t>BOTKYRKA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45678</v>
      </c>
      <c r="E54" s="1" t="n">
        <v>46236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46236</v>
      </c>
      <c r="F55" t="inlineStr">
        <is>
          <t>STOCKHOLMS LÄN</t>
        </is>
      </c>
      <c r="G55" t="inlineStr">
        <is>
          <t>BOTKYRKA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46236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46164</v>
      </c>
      <c r="E57" s="1" t="n">
        <v>46236</v>
      </c>
      <c r="F57" t="inlineStr">
        <is>
          <t>STOCKHOLMS LÄN</t>
        </is>
      </c>
      <c r="G57" t="inlineStr">
        <is>
          <t>BOTKYRKA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45376</v>
      </c>
      <c r="E58" s="1" t="n">
        <v>46236</v>
      </c>
      <c r="F58" t="inlineStr">
        <is>
          <t>STOCKHOLMS LÄN</t>
        </is>
      </c>
      <c r="G58" t="inlineStr">
        <is>
          <t>BOTKYRKA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30622-2024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45495</v>
      </c>
      <c r="E59" s="1" t="n">
        <v>46236</v>
      </c>
      <c r="F59" t="inlineStr">
        <is>
          <t>STOCKHOLMS LÄN</t>
        </is>
      </c>
      <c r="G59" t="inlineStr">
        <is>
          <t>BOTKYRKA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30925-2023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45113</v>
      </c>
      <c r="E60" s="1" t="n">
        <v>46236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45869-2022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44844</v>
      </c>
      <c r="E61" s="1" t="n">
        <v>46236</v>
      </c>
      <c r="F61" t="inlineStr">
        <is>
          <t>STOCKHOLMS LÄN</t>
        </is>
      </c>
      <c r="G61" t="inlineStr">
        <is>
          <t>BOTKYRKA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73151-2021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46236</v>
      </c>
      <c r="F62" t="inlineStr">
        <is>
          <t>STOCKHOLMS LÄN</t>
        </is>
      </c>
      <c r="G62" t="inlineStr">
        <is>
          <t>BOTKYRKA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73194-2021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44550</v>
      </c>
      <c r="E63" s="1" t="n">
        <v>46236</v>
      </c>
      <c r="F63" t="inlineStr">
        <is>
          <t>STOCKHOLMS LÄN</t>
        </is>
      </c>
      <c r="G63" t="inlineStr">
        <is>
          <t>BOTKYRKA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14217-2025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45740</v>
      </c>
      <c r="E64" s="1" t="n">
        <v>46236</v>
      </c>
      <c r="F64" t="inlineStr">
        <is>
          <t>STOCKHOLMS LÄN</t>
        </is>
      </c>
      <c r="G64" t="inlineStr">
        <is>
          <t>BOTKYRKA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46236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12306-2026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46236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12294-2026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46087</v>
      </c>
      <c r="E67" s="1" t="n">
        <v>46236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44700</v>
      </c>
      <c r="E68" s="1" t="n">
        <v>46236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45376</v>
      </c>
      <c r="E69" s="1" t="n">
        <v>46236</v>
      </c>
      <c r="F69" t="inlineStr">
        <is>
          <t>STOCKHOLMS LÄN</t>
        </is>
      </c>
      <c r="G69" t="inlineStr">
        <is>
          <t>BOTKYRKA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46236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46236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8528-2024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45355</v>
      </c>
      <c r="E72" s="1" t="n">
        <v>46236</v>
      </c>
      <c r="F72" t="inlineStr">
        <is>
          <t>STOCKHOLMS LÄN</t>
        </is>
      </c>
      <c r="G72" t="inlineStr">
        <is>
          <t>BOTKYRKA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44586</v>
      </c>
      <c r="E73" s="1" t="n">
        <v>46236</v>
      </c>
      <c r="F73" t="inlineStr">
        <is>
          <t>STOCKHOLMS LÄN</t>
        </is>
      </c>
      <c r="G73" t="inlineStr">
        <is>
          <t>BOTKYRKA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46236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2026-08-02T01:53:07Z</dcterms:created>
  <dcterms:modified xmlns:dcterms="http://purl.org/dc/terms/" xmlns:xsi="http://www.w3.org/2001/XMLSchema-instance" xsi:type="dcterms:W3CDTF">2026-08-02T01:53:07Z</dcterms:modified>
</cp:coreProperties>
</file>