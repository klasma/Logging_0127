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46251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46251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46251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25306-2026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46251</v>
      </c>
      <c r="F5" t="inlineStr">
        <is>
          <t>STOCKHOLMS LÄN</t>
        </is>
      </c>
      <c r="G5" t="inlineStr">
        <is>
          <t>BOTKYRKA</t>
        </is>
      </c>
      <c r="I5" t="n">
        <v>3.2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10</v>
      </c>
      <c r="T5" t="n">
        <v>14</v>
      </c>
      <c r="U5" t="n">
        <v>14</v>
      </c>
      <c r="V5" s="2" t="inlineStr">
        <is>
          <t>Gulsparv
Slåtterfibbla
Tallticka
Blåmossa
Mindre märgborre
Kransmossa
Liljekonvalj
Spillkråka
Tofsmes
Gröngöling</t>
        </is>
      </c>
      <c r="W5">
        <f>HYPERLINK("https://klasma.github.io/Logging_0127/artfynd/A 25306-2026 artfynd.xlsx", "A 25306-2026")</f>
        <v/>
      </c>
      <c r="X5">
        <f>HYPERLINK("https://klasma.github.io/Logging_0127/kartor/A 25306-2026 karta.png", "A 25306-2026")</f>
        <v/>
      </c>
      <c r="Y5">
        <f>HYPERLINK("https://klasma.github.io/Logging_0127/kartor_geotiff/A 25306-2026 georefererad karta.tif", "A 25306-2026")</f>
        <v/>
      </c>
      <c r="AA5">
        <f>HYPERLINK("https://klasma.github.io/Logging_0127/klagomål/A 25306-2026 FSC-klagomål.docx", "A 25306-2026")</f>
        <v/>
      </c>
      <c r="AB5">
        <f>HYPERLINK("https://klasma.github.io/Logging_0127/klagomålsmail/A 25306-2026 FSC-klagomål mail.docx", "A 25306-2026")</f>
        <v/>
      </c>
      <c r="AC5">
        <f>HYPERLINK("https://klasma.github.io/Logging_0127/tillsyn/A 25306-2026 tillsynsbegäran.docx", "A 25306-2026")</f>
        <v/>
      </c>
      <c r="AD5">
        <f>HYPERLINK("https://klasma.github.io/Logging_0127/tillsynsmail/A 25306-2026 tillsynsbegäran mail.docx", "A 25306-2026")</f>
        <v/>
      </c>
      <c r="AE5">
        <f>HYPERLINK("https://klasma.github.io/Logging_0127/fåglar/A 25306-2026 prioriterade fågelarter.docx", "A 25306-2026")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46251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46251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46251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48514-2025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46251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17.1</v>
      </c>
      <c r="J9" t="n">
        <v>1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90</v>
      </c>
      <c r="U9" t="n">
        <v>88</v>
      </c>
      <c r="V9" s="2" t="inlineStr">
        <is>
          <t>Igelkott
Lammticka
Motaggsvamp
Skarp dropptaggsvamp
Svartvit taggsvamp
Tallticka
Talltita
Mindre märgborre</t>
        </is>
      </c>
      <c r="W9">
        <f>HYPERLINK("https://klasma.github.io/Logging_0127/artfynd/A 48514-2025 artfynd.xlsx", "A 48514-2025")</f>
        <v/>
      </c>
      <c r="X9">
        <f>HYPERLINK("https://klasma.github.io/Logging_0127/kartor/A 48514-2025 karta.png", "A 48514-2025")</f>
        <v/>
      </c>
      <c r="Y9">
        <f>HYPERLINK("https://klasma.github.io/Logging_0127/kartor_geotiff/A 48514-2025 georefererad karta.tif", "A 48514-2025")</f>
        <v/>
      </c>
      <c r="AA9">
        <f>HYPERLINK("https://klasma.github.io/Logging_0127/klagomål/A 48514-2025 FSC-klagomål.docx", "A 48514-2025")</f>
        <v/>
      </c>
      <c r="AB9">
        <f>HYPERLINK("https://klasma.github.io/Logging_0127/klagomålsmail/A 48514-2025 FSC-klagomål mail.docx", "A 48514-2025")</f>
        <v/>
      </c>
      <c r="AC9">
        <f>HYPERLINK("https://klasma.github.io/Logging_0127/tillsyn/A 48514-2025 tillsynsbegäran.docx", "A 48514-2025")</f>
        <v/>
      </c>
      <c r="AD9">
        <f>HYPERLINK("https://klasma.github.io/Logging_0127/tillsynsmail/A 48514-2025 tillsynsbegäran mail.docx", "A 48514-2025")</f>
        <v/>
      </c>
      <c r="AE9">
        <f>HYPERLINK("https://klasma.github.io/Logging_0127/fåglar/A 48514-2025 prioriterade fågelarter.docx", "A 48514-2025")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46251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46251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46251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46251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46251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46251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46251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46251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46251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30378-2024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45491</v>
      </c>
      <c r="E19" s="1" t="n">
        <v>46251</v>
      </c>
      <c r="F19" t="inlineStr">
        <is>
          <t>STOCKHOLMS LÄN</t>
        </is>
      </c>
      <c r="G19" t="inlineStr">
        <is>
          <t>BOTKYRKA</t>
        </is>
      </c>
      <c r="I19" t="n">
        <v>0.3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tåtelsmygare
Svinrot</t>
        </is>
      </c>
      <c r="W19">
        <f>HYPERLINK("https://klasma.github.io/Logging_0127/artfynd/A 30378-2024 artfynd.xlsx", "A 30378-2024")</f>
        <v/>
      </c>
      <c r="X19">
        <f>HYPERLINK("https://klasma.github.io/Logging_0127/kartor/A 30378-2024 karta.png", "A 30378-2024")</f>
        <v/>
      </c>
      <c r="Y19">
        <f>HYPERLINK("https://klasma.github.io/Logging_0127/kartor_geotiff/A 30378-2024 georefererad karta.tif", "A 30378-2024")</f>
        <v/>
      </c>
      <c r="AA19">
        <f>HYPERLINK("https://klasma.github.io/Logging_0127/klagomål/A 30378-2024 FSC-klagomål.docx", "A 30378-2024")</f>
        <v/>
      </c>
      <c r="AB19">
        <f>HYPERLINK("https://klasma.github.io/Logging_0127/klagomålsmail/A 30378-2024 FSC-klagomål mail.docx", "A 30378-2024")</f>
        <v/>
      </c>
      <c r="AC19">
        <f>HYPERLINK("https://klasma.github.io/Logging_0127/tillsyn/A 30378-2024 tillsynsbegäran.docx", "A 30378-2024")</f>
        <v/>
      </c>
      <c r="AD19">
        <f>HYPERLINK("https://klasma.github.io/Logging_0127/tillsynsmail/A 30378-2024 tillsynsbegäran mail.docx", "A 30378-2024")</f>
        <v/>
      </c>
    </row>
    <row r="20" ht="15" customHeight="1">
      <c r="A20" t="inlineStr">
        <is>
          <t>A 15905-2022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44664</v>
      </c>
      <c r="E20" s="1" t="n">
        <v>46251</v>
      </c>
      <c r="F20" t="inlineStr">
        <is>
          <t>STOCKHOLMS LÄN</t>
        </is>
      </c>
      <c r="G20" t="inlineStr">
        <is>
          <t>BOTKYRKA</t>
        </is>
      </c>
      <c r="I20" t="n">
        <v>11.2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Motaggsvamp
Svartvit taggsvamp</t>
        </is>
      </c>
      <c r="W20">
        <f>HYPERLINK("https://klasma.github.io/Logging_0127/artfynd/A 15905-2022 artfynd.xlsx", "A 15905-2022")</f>
        <v/>
      </c>
      <c r="X20">
        <f>HYPERLINK("https://klasma.github.io/Logging_0127/kartor/A 15905-2022 karta.png", "A 15905-2022")</f>
        <v/>
      </c>
      <c r="Y20">
        <f>HYPERLINK("https://klasma.github.io/Logging_0127/kartor_geotiff/A 15905-2022 georefererad karta.tif", "A 15905-2022")</f>
        <v/>
      </c>
      <c r="AA20">
        <f>HYPERLINK("https://klasma.github.io/Logging_0127/klagomål/A 15905-2022 FSC-klagomål.docx", "A 15905-2022")</f>
        <v/>
      </c>
      <c r="AB20">
        <f>HYPERLINK("https://klasma.github.io/Logging_0127/klagomålsmail/A 15905-2022 FSC-klagomål mail.docx", "A 15905-2022")</f>
        <v/>
      </c>
      <c r="AC20">
        <f>HYPERLINK("https://klasma.github.io/Logging_0127/tillsyn/A 15905-2022 tillsynsbegäran.docx", "A 15905-2022")</f>
        <v/>
      </c>
      <c r="AD20">
        <f>HYPERLINK("https://klasma.github.io/Logging_0127/tillsynsmail/A 15905-2022 tillsynsbegäran mail.docx", "A 15905-2022")</f>
        <v/>
      </c>
    </row>
    <row r="21" ht="15" customHeight="1">
      <c r="A21" t="inlineStr">
        <is>
          <t>A 60406-2025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45995</v>
      </c>
      <c r="E21" s="1" t="n">
        <v>46251</v>
      </c>
      <c r="F21" t="inlineStr">
        <is>
          <t>STOCKHOLMS LÄN</t>
        </is>
      </c>
      <c r="G21" t="inlineStr">
        <is>
          <t>BOTKYRKA</t>
        </is>
      </c>
      <c r="H21" t="inlineStr">
        <is>
          <t>Övriga Aktiebolag</t>
        </is>
      </c>
      <c r="I21" t="n">
        <v>2.3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Mindre märgborre</t>
        </is>
      </c>
      <c r="W21">
        <f>HYPERLINK("https://klasma.github.io/Logging_0127/artfynd/A 60406-2025 artfynd.xlsx", "A 60406-2025")</f>
        <v/>
      </c>
      <c r="X21">
        <f>HYPERLINK("https://klasma.github.io/Logging_0127/kartor/A 60406-2025 karta.png", "A 60406-2025")</f>
        <v/>
      </c>
      <c r="Y21">
        <f>HYPERLINK("https://klasma.github.io/Logging_0127/kartor_geotiff/A 60406-2025 georefererad karta.tif", "A 60406-2025")</f>
        <v/>
      </c>
      <c r="AA21">
        <f>HYPERLINK("https://klasma.github.io/Logging_0127/klagomål/A 60406-2025 FSC-klagomål.docx", "A 60406-2025")</f>
        <v/>
      </c>
      <c r="AB21">
        <f>HYPERLINK("https://klasma.github.io/Logging_0127/klagomålsmail/A 60406-2025 FSC-klagomål mail.docx", "A 60406-2025")</f>
        <v/>
      </c>
      <c r="AC21">
        <f>HYPERLINK("https://klasma.github.io/Logging_0127/tillsyn/A 60406-2025 tillsynsbegäran.docx", "A 60406-2025")</f>
        <v/>
      </c>
      <c r="AD21">
        <f>HYPERLINK("https://klasma.github.io/Logging_0127/tillsynsmail/A 60406-2025 tillsynsbegäran mail.docx", "A 60406-2025")</f>
        <v/>
      </c>
    </row>
    <row r="22" ht="15" customHeight="1">
      <c r="A22" t="inlineStr">
        <is>
          <t>A 24799-2026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46171</v>
      </c>
      <c r="E22" s="1" t="n">
        <v>46251</v>
      </c>
      <c r="F22" t="inlineStr">
        <is>
          <t>STOCKHOLMS LÄN</t>
        </is>
      </c>
      <c r="G22" t="inlineStr">
        <is>
          <t>BOTKYRKA</t>
        </is>
      </c>
      <c r="I22" t="n">
        <v>1.7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Mindre märgborre
Spillkråka</t>
        </is>
      </c>
      <c r="W22">
        <f>HYPERLINK("https://klasma.github.io/Logging_0127/artfynd/A 24799-2026 artfynd.xlsx", "A 24799-2026")</f>
        <v/>
      </c>
      <c r="X22">
        <f>HYPERLINK("https://klasma.github.io/Logging_0127/kartor/A 24799-2026 karta.png", "A 24799-2026")</f>
        <v/>
      </c>
      <c r="Y22">
        <f>HYPERLINK("https://klasma.github.io/Logging_0127/kartor_geotiff/A 24799-2026 georefererad karta.tif", "A 24799-2026")</f>
        <v/>
      </c>
      <c r="AA22">
        <f>HYPERLINK("https://klasma.github.io/Logging_0127/klagomål/A 24799-2026 FSC-klagomål.docx", "A 24799-2026")</f>
        <v/>
      </c>
      <c r="AB22">
        <f>HYPERLINK("https://klasma.github.io/Logging_0127/klagomålsmail/A 24799-2026 FSC-klagomål mail.docx", "A 24799-2026")</f>
        <v/>
      </c>
      <c r="AC22">
        <f>HYPERLINK("https://klasma.github.io/Logging_0127/tillsyn/A 24799-2026 tillsynsbegäran.docx", "A 24799-2026")</f>
        <v/>
      </c>
      <c r="AD22">
        <f>HYPERLINK("https://klasma.github.io/Logging_0127/tillsynsmail/A 24799-2026 tillsynsbegäran mail.docx", "A 24799-2026")</f>
        <v/>
      </c>
      <c r="AE22">
        <f>HYPERLINK("https://klasma.github.io/Logging_0127/fåglar/A 24799-2026 prioriterade fågelarter.docx", "A 24799-2026")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46251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Grovticka
Spillkråka</t>
        </is>
      </c>
      <c r="W23">
        <f>HYPERLINK("https://klasma.github.io/Logging_0127/artfynd/A 25319-2026 artfynd.xlsx", "A 25319-2026")</f>
        <v/>
      </c>
      <c r="X23">
        <f>HYPERLINK("https://klasma.github.io/Logging_0127/kartor/A 25319-2026 karta.png", "A 25319-2026")</f>
        <v/>
      </c>
      <c r="Y23">
        <f>HYPERLINK("https://klasma.github.io/Logging_0127/kartor_geotiff/A 25319-2026 georefererad karta.tif", "A 25319-2026")</f>
        <v/>
      </c>
      <c r="AA23">
        <f>HYPERLINK("https://klasma.github.io/Logging_0127/klagomål/A 25319-2026 FSC-klagomål.docx", "A 25319-2026")</f>
        <v/>
      </c>
      <c r="AB23">
        <f>HYPERLINK("https://klasma.github.io/Logging_0127/klagomålsmail/A 25319-2026 FSC-klagomål mail.docx", "A 25319-2026")</f>
        <v/>
      </c>
      <c r="AC23">
        <f>HYPERLINK("https://klasma.github.io/Logging_0127/tillsyn/A 25319-2026 tillsynsbegäran.docx", "A 25319-2026")</f>
        <v/>
      </c>
      <c r="AD23">
        <f>HYPERLINK("https://klasma.github.io/Logging_0127/tillsynsmail/A 25319-2026 tillsynsbegäran mail.docx", "A 25319-2026")</f>
        <v/>
      </c>
      <c r="AE23">
        <f>HYPERLINK("https://klasma.github.io/Logging_0127/fåglar/A 25319-2026 prioriterade fågelarter.docx", "A 25319-2026")</f>
        <v/>
      </c>
    </row>
    <row r="24" ht="15" customHeight="1">
      <c r="A24" t="inlineStr">
        <is>
          <t>A 25315-2026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46176</v>
      </c>
      <c r="E24" s="1" t="n">
        <v>46251</v>
      </c>
      <c r="F24" t="inlineStr">
        <is>
          <t>STOCKHOLMS LÄN</t>
        </is>
      </c>
      <c r="G24" t="inlineStr">
        <is>
          <t>BOTKYRKA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Spillkråka
Tofsmes</t>
        </is>
      </c>
      <c r="W24">
        <f>HYPERLINK("https://klasma.github.io/Logging_0127/artfynd/A 25315-2026 artfynd.xlsx", "A 25315-2026")</f>
        <v/>
      </c>
      <c r="X24">
        <f>HYPERLINK("https://klasma.github.io/Logging_0127/kartor/A 25315-2026 karta.png", "A 25315-2026")</f>
        <v/>
      </c>
      <c r="Y24">
        <f>HYPERLINK("https://klasma.github.io/Logging_0127/kartor_geotiff/A 25315-2026 georefererad karta.tif", "A 25315-2026")</f>
        <v/>
      </c>
      <c r="AA24">
        <f>HYPERLINK("https://klasma.github.io/Logging_0127/klagomål/A 25315-2026 FSC-klagomål.docx", "A 25315-2026")</f>
        <v/>
      </c>
      <c r="AB24">
        <f>HYPERLINK("https://klasma.github.io/Logging_0127/klagomålsmail/A 25315-2026 FSC-klagomål mail.docx", "A 25315-2026")</f>
        <v/>
      </c>
      <c r="AC24">
        <f>HYPERLINK("https://klasma.github.io/Logging_0127/tillsyn/A 25315-2026 tillsynsbegäran.docx", "A 25315-2026")</f>
        <v/>
      </c>
      <c r="AD24">
        <f>HYPERLINK("https://klasma.github.io/Logging_0127/tillsynsmail/A 25315-2026 tillsynsbegäran mail.docx", "A 25315-2026")</f>
        <v/>
      </c>
      <c r="AE24">
        <f>HYPERLINK("https://klasma.github.io/Logging_0127/fåglar/A 25315-2026 prioriterade fågelarter.docx", "A 25315-2026")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46251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46251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12305-2026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46251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HYPERLINK("https://klasma.github.io/Logging_0127/artfynd/A 12305-2026 artfynd.xlsx", "A 12305-2026")</f>
        <v/>
      </c>
      <c r="X27">
        <f>HYPERLINK("https://klasma.github.io/Logging_0127/kartor/A 12305-2026 karta.png", "A 12305-2026")</f>
        <v/>
      </c>
      <c r="Y27">
        <f>HYPERLINK("https://klasma.github.io/Logging_0127/kartor_geotiff/A 12305-2026 georefererad karta.tif", "A 12305-2026")</f>
        <v/>
      </c>
      <c r="AA27">
        <f>HYPERLINK("https://klasma.github.io/Logging_0127/klagomål/A 12305-2026 FSC-klagomål.docx", "A 12305-2026")</f>
        <v/>
      </c>
      <c r="AB27">
        <f>HYPERLINK("https://klasma.github.io/Logging_0127/klagomålsmail/A 12305-2026 FSC-klagomål mail.docx", "A 12305-2026")</f>
        <v/>
      </c>
      <c r="AC27">
        <f>HYPERLINK("https://klasma.github.io/Logging_0127/tillsyn/A 12305-2026 tillsynsbegäran.docx", "A 12305-2026")</f>
        <v/>
      </c>
      <c r="AD27">
        <f>HYPERLINK("https://klasma.github.io/Logging_0127/tillsynsmail/A 12305-2026 tillsynsbegäran mail.docx", "A 12305-2026")</f>
        <v/>
      </c>
      <c r="AE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46251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hackspett</t>
        </is>
      </c>
      <c r="W28">
        <f>HYPERLINK("https://klasma.github.io/Logging_0127/artfynd/A 12590-2026 artfynd.xlsx", "A 12590-2026")</f>
        <v/>
      </c>
      <c r="X28">
        <f>HYPERLINK("https://klasma.github.io/Logging_0127/kartor/A 12590-2026 karta.png", "A 12590-2026")</f>
        <v/>
      </c>
      <c r="Y28">
        <f>HYPERLINK("https://klasma.github.io/Logging_0127/kartor_geotiff/A 12590-2026 georefererad karta.tif", "A 12590-2026")</f>
        <v/>
      </c>
      <c r="AA28">
        <f>HYPERLINK("https://klasma.github.io/Logging_0127/klagomål/A 12590-2026 FSC-klagomål.docx", "A 12590-2026")</f>
        <v/>
      </c>
      <c r="AB28">
        <f>HYPERLINK("https://klasma.github.io/Logging_0127/klagomålsmail/A 12590-2026 FSC-klagomål mail.docx", "A 12590-2026")</f>
        <v/>
      </c>
      <c r="AC28">
        <f>HYPERLINK("https://klasma.github.io/Logging_0127/tillsyn/A 12590-2026 tillsynsbegäran.docx", "A 12590-2026")</f>
        <v/>
      </c>
      <c r="AD28">
        <f>HYPERLINK("https://klasma.github.io/Logging_0127/tillsynsmail/A 12590-2026 tillsynsbegäran mail.docx", "A 12590-2026")</f>
        <v/>
      </c>
      <c r="AE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46251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Fyrflikig jordstjärna</t>
        </is>
      </c>
      <c r="W29">
        <f>HYPERLINK("https://klasma.github.io/Logging_0127/artfynd/A 12842-2026 artfynd.xlsx", "A 12842-2026")</f>
        <v/>
      </c>
      <c r="X29">
        <f>HYPERLINK("https://klasma.github.io/Logging_0127/kartor/A 12842-2026 karta.png", "A 12842-2026")</f>
        <v/>
      </c>
      <c r="Y29">
        <f>HYPERLINK("https://klasma.github.io/Logging_0127/kartor_geotiff/A 12842-2026 georefererad karta.tif", "A 12842-2026")</f>
        <v/>
      </c>
      <c r="AA29">
        <f>HYPERLINK("https://klasma.github.io/Logging_0127/klagomål/A 12842-2026 FSC-klagomål.docx", "A 12842-2026")</f>
        <v/>
      </c>
      <c r="AB29">
        <f>HYPERLINK("https://klasma.github.io/Logging_0127/klagomålsmail/A 12842-2026 FSC-klagomål mail.docx", "A 12842-2026")</f>
        <v/>
      </c>
      <c r="AC29">
        <f>HYPERLINK("https://klasma.github.io/Logging_0127/tillsyn/A 12842-2026 tillsynsbegäran.docx", "A 12842-2026")</f>
        <v/>
      </c>
      <c r="AD29">
        <f>HYPERLINK("https://klasma.github.io/Logging_0127/tillsynsmail/A 12842-2026 tillsynsbegäran mail.docx", "A 12842-2026")</f>
        <v/>
      </c>
    </row>
    <row r="30" ht="15" customHeight="1">
      <c r="A30" t="inlineStr">
        <is>
          <t>A 61514-2022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44916</v>
      </c>
      <c r="E30" s="1" t="n">
        <v>46251</v>
      </c>
      <c r="F30" t="inlineStr">
        <is>
          <t>STOCKHOLMS LÄN</t>
        </is>
      </c>
      <c r="G30" t="inlineStr">
        <is>
          <t>BOTKYRKA</t>
        </is>
      </c>
      <c r="I30" t="n">
        <v>1.3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Vanlig groda</t>
        </is>
      </c>
      <c r="W30">
        <f>HYPERLINK("https://klasma.github.io/Logging_0127/artfynd/A 61514-2022 artfynd.xlsx", "A 61514-2022")</f>
        <v/>
      </c>
      <c r="X30">
        <f>HYPERLINK("https://klasma.github.io/Logging_0127/kartor/A 61514-2022 karta.png", "A 61514-2022")</f>
        <v/>
      </c>
      <c r="Y30">
        <f>HYPERLINK("https://klasma.github.io/Logging_0127/kartor_geotiff/A 61514-2022 georefererad karta.tif", "A 61514-2022")</f>
        <v/>
      </c>
      <c r="AA30">
        <f>HYPERLINK("https://klasma.github.io/Logging_0127/klagomål/A 61514-2022 FSC-klagomål.docx", "A 61514-2022")</f>
        <v/>
      </c>
      <c r="AB30">
        <f>HYPERLINK("https://klasma.github.io/Logging_0127/klagomålsmail/A 61514-2022 FSC-klagomål mail.docx", "A 61514-2022")</f>
        <v/>
      </c>
      <c r="AC30">
        <f>HYPERLINK("https://klasma.github.io/Logging_0127/tillsyn/A 61514-2022 tillsynsbegäran.docx", "A 61514-2022")</f>
        <v/>
      </c>
      <c r="AD30">
        <f>HYPERLINK("https://klasma.github.io/Logging_0127/tillsynsmail/A 61514-2022 tillsynsbegäran mail.docx", "A 61514-2022")</f>
        <v/>
      </c>
    </row>
    <row r="31" ht="15" customHeight="1">
      <c r="A31" t="inlineStr">
        <is>
          <t>A 14214-2025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46251</v>
      </c>
      <c r="F31" t="inlineStr">
        <is>
          <t>STOCKHOLMS LÄN</t>
        </is>
      </c>
      <c r="G31" t="inlineStr">
        <is>
          <t>BOTKYRKA</t>
        </is>
      </c>
      <c r="I31" t="n">
        <v>2.5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Stare</t>
        </is>
      </c>
      <c r="W31">
        <f>HYPERLINK("https://klasma.github.io/Logging_0127/artfynd/A 14214-2025 artfynd.xlsx", "A 14214-2025")</f>
        <v/>
      </c>
      <c r="X31">
        <f>HYPERLINK("https://klasma.github.io/Logging_0127/kartor/A 14214-2025 karta.png", "A 14214-2025")</f>
        <v/>
      </c>
      <c r="Y31">
        <f>HYPERLINK("https://klasma.github.io/Logging_0127/kartor_geotiff/A 14214-2025 georefererad karta.tif", "A 14214-2025")</f>
        <v/>
      </c>
      <c r="AA31">
        <f>HYPERLINK("https://klasma.github.io/Logging_0127/klagomål/A 14214-2025 FSC-klagomål.docx", "A 14214-2025")</f>
        <v/>
      </c>
      <c r="AB31">
        <f>HYPERLINK("https://klasma.github.io/Logging_0127/klagomålsmail/A 14214-2025 FSC-klagomål mail.docx", "A 14214-2025")</f>
        <v/>
      </c>
      <c r="AC31">
        <f>HYPERLINK("https://klasma.github.io/Logging_0127/tillsyn/A 14214-2025 tillsynsbegäran.docx", "A 14214-2025")</f>
        <v/>
      </c>
      <c r="AD31">
        <f>HYPERLINK("https://klasma.github.io/Logging_0127/tillsynsmail/A 14214-2025 tillsynsbegäran mail.docx", "A 14214-2025")</f>
        <v/>
      </c>
      <c r="AE31">
        <f>HYPERLINK("https://klasma.github.io/Logging_0127/fåglar/A 14214-2025 prioriterade fågelarter.docx", "A 14214-2025")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46251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HYPERLINK("https://klasma.github.io/Logging_0127/artfynd/A 1691-2023 artfynd.xlsx", "A 1691-2023")</f>
        <v/>
      </c>
      <c r="X32">
        <f>HYPERLINK("https://klasma.github.io/Logging_0127/kartor/A 1691-2023 karta.png", "A 1691-2023")</f>
        <v/>
      </c>
      <c r="Y32">
        <f>HYPERLINK("https://klasma.github.io/Logging_0127/kartor_geotiff/A 1691-2023 georefererad karta.tif", "A 1691-2023")</f>
        <v/>
      </c>
      <c r="AA32">
        <f>HYPERLINK("https://klasma.github.io/Logging_0127/klagomål/A 1691-2023 FSC-klagomål.docx", "A 1691-2023")</f>
        <v/>
      </c>
      <c r="AB32">
        <f>HYPERLINK("https://klasma.github.io/Logging_0127/klagomålsmail/A 1691-2023 FSC-klagomål mail.docx", "A 1691-2023")</f>
        <v/>
      </c>
      <c r="AC32">
        <f>HYPERLINK("https://klasma.github.io/Logging_0127/tillsyn/A 1691-2023 tillsynsbegäran.docx", "A 1691-2023")</f>
        <v/>
      </c>
      <c r="AD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46251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Blomkålssvamp</t>
        </is>
      </c>
      <c r="W33">
        <f>HYPERLINK("https://klasma.github.io/Logging_0127/artfynd/A 3726-2022 artfynd.xlsx", "A 3726-2022")</f>
        <v/>
      </c>
      <c r="X33">
        <f>HYPERLINK("https://klasma.github.io/Logging_0127/kartor/A 3726-2022 karta.png", "A 3726-2022")</f>
        <v/>
      </c>
      <c r="Y33">
        <f>HYPERLINK("https://klasma.github.io/Logging_0127/kartor_geotiff/A 3726-2022 georefererad karta.tif", "A 3726-2022")</f>
        <v/>
      </c>
      <c r="AA33">
        <f>HYPERLINK("https://klasma.github.io/Logging_0127/klagomål/A 3726-2022 FSC-klagomål.docx", "A 3726-2022")</f>
        <v/>
      </c>
      <c r="AB33">
        <f>HYPERLINK("https://klasma.github.io/Logging_0127/klagomålsmail/A 3726-2022 FSC-klagomål mail.docx", "A 3726-2022")</f>
        <v/>
      </c>
      <c r="AC33">
        <f>HYPERLINK("https://klasma.github.io/Logging_0127/tillsyn/A 3726-2022 tillsynsbegäran.docx", "A 3726-2022")</f>
        <v/>
      </c>
      <c r="AD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46251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HYPERLINK("https://klasma.github.io/Logging_0127/artfynd/A 15690-2023 artfynd.xlsx", "A 15690-2023")</f>
        <v/>
      </c>
      <c r="X34">
        <f>HYPERLINK("https://klasma.github.io/Logging_0127/kartor/A 15690-2023 karta.png", "A 15690-2023")</f>
        <v/>
      </c>
      <c r="Y34">
        <f>HYPERLINK("https://klasma.github.io/Logging_0127/kartor_geotiff/A 15690-2023 georefererad karta.tif", "A 15690-2023")</f>
        <v/>
      </c>
      <c r="AA34">
        <f>HYPERLINK("https://klasma.github.io/Logging_0127/klagomål/A 15690-2023 FSC-klagomål.docx", "A 15690-2023")</f>
        <v/>
      </c>
      <c r="AB34">
        <f>HYPERLINK("https://klasma.github.io/Logging_0127/klagomålsmail/A 15690-2023 FSC-klagomål mail.docx", "A 15690-2023")</f>
        <v/>
      </c>
      <c r="AC34">
        <f>HYPERLINK("https://klasma.github.io/Logging_0127/tillsyn/A 15690-2023 tillsynsbegäran.docx", "A 15690-2023")</f>
        <v/>
      </c>
      <c r="AD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46251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46251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46251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46251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46251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73772-2021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44552</v>
      </c>
      <c r="E40" s="1" t="n">
        <v>46251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46251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48647-2022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46251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46251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46251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48656-2022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46251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46251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46251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46251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44599</v>
      </c>
      <c r="E49" s="1" t="n">
        <v>46251</v>
      </c>
      <c r="F49" t="inlineStr">
        <is>
          <t>STOCKHOLMS LÄN</t>
        </is>
      </c>
      <c r="G49" t="inlineStr">
        <is>
          <t>BOTKYRKA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46251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46251</v>
      </c>
      <c r="F51" t="inlineStr">
        <is>
          <t>STOCKHOLMS LÄN</t>
        </is>
      </c>
      <c r="G51" t="inlineStr">
        <is>
          <t>BOTKYRKA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46251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46251</v>
      </c>
      <c r="F53" t="inlineStr">
        <is>
          <t>STOCKHOLMS LÄN</t>
        </is>
      </c>
      <c r="G53" t="inlineStr">
        <is>
          <t>BOTKYRKA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46251</v>
      </c>
      <c r="F54" t="inlineStr">
        <is>
          <t>STOCKHOLMS LÄN</t>
        </is>
      </c>
      <c r="G54" t="inlineStr">
        <is>
          <t>BOTKYRKA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45740</v>
      </c>
      <c r="E55" s="1" t="n">
        <v>46251</v>
      </c>
      <c r="F55" t="inlineStr">
        <is>
          <t>STOCKHOLMS LÄN</t>
        </is>
      </c>
      <c r="G55" t="inlineStr">
        <is>
          <t>BOTKYRKA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25217-2024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45462</v>
      </c>
      <c r="E56" s="1" t="n">
        <v>46251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45062</v>
      </c>
      <c r="E57" s="1" t="n">
        <v>46251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46251</v>
      </c>
      <c r="F58" t="inlineStr">
        <is>
          <t>STOCKHOLMS LÄN</t>
        </is>
      </c>
      <c r="G58" t="inlineStr">
        <is>
          <t>BOTKYRKA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45678</v>
      </c>
      <c r="E59" s="1" t="n">
        <v>46251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30622-2024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45495</v>
      </c>
      <c r="E60" s="1" t="n">
        <v>46251</v>
      </c>
      <c r="F60" t="inlineStr">
        <is>
          <t>STOCKHOLMS LÄN</t>
        </is>
      </c>
      <c r="G60" t="inlineStr">
        <is>
          <t>BOTKYRKA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45113</v>
      </c>
      <c r="E61" s="1" t="n">
        <v>46251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44844</v>
      </c>
      <c r="E62" s="1" t="n">
        <v>46251</v>
      </c>
      <c r="F62" t="inlineStr">
        <is>
          <t>STOCKHOLMS LÄN</t>
        </is>
      </c>
      <c r="G62" t="inlineStr">
        <is>
          <t>BOTKYRKA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14217-2025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45740</v>
      </c>
      <c r="E63" s="1" t="n">
        <v>46251</v>
      </c>
      <c r="F63" t="inlineStr">
        <is>
          <t>STOCKHOLMS LÄN</t>
        </is>
      </c>
      <c r="G63" t="inlineStr">
        <is>
          <t>BOTKYRKA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46251</v>
      </c>
      <c r="F64" t="inlineStr">
        <is>
          <t>STOCKHOLMS LÄN</t>
        </is>
      </c>
      <c r="G64" t="inlineStr">
        <is>
          <t>BOTKYRKA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46154</v>
      </c>
      <c r="E65" s="1" t="n">
        <v>46251</v>
      </c>
      <c r="F65" t="inlineStr">
        <is>
          <t>STOCKHOLMS LÄN</t>
        </is>
      </c>
      <c r="G65" t="inlineStr">
        <is>
          <t>BOTKYRKA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73151-2021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46251</v>
      </c>
      <c r="F66" t="inlineStr">
        <is>
          <t>STOCKHOLMS LÄN</t>
        </is>
      </c>
      <c r="G66" t="inlineStr">
        <is>
          <t>BOTKYRKA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73194-2021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46251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46251</v>
      </c>
      <c r="F68" t="inlineStr">
        <is>
          <t>STOCKHOLMS LÄN</t>
        </is>
      </c>
      <c r="G68" t="inlineStr">
        <is>
          <t>BOTKYRKA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46251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23716-2026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46251</v>
      </c>
      <c r="F70" t="inlineStr">
        <is>
          <t>STOCKHOLMS LÄN</t>
        </is>
      </c>
      <c r="G70" t="inlineStr">
        <is>
          <t>BOTKYRKA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46251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46251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27717-2026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46190</v>
      </c>
      <c r="E73" s="1" t="n">
        <v>46251</v>
      </c>
      <c r="F73" t="inlineStr">
        <is>
          <t>STOCKHOLMS LÄN</t>
        </is>
      </c>
      <c r="G73" t="inlineStr">
        <is>
          <t>BOTKYRKA</t>
        </is>
      </c>
      <c r="H73" t="inlineStr">
        <is>
          <t>Övriga Aktiebolag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46251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2026-08-17T01:47:15Z</dcterms:created>
  <dcterms:modified xmlns:dcterms="http://purl.org/dc/terms/" xmlns:xsi="http://www.w3.org/2001/XMLSchema-instance" xsi:type="dcterms:W3CDTF">2026-08-17T01:47:15Z</dcterms:modified>
</cp:coreProperties>
</file>