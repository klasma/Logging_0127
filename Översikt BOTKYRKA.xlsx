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46296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46296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46296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46296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46296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46296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46296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46296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46296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46296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46296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18100-2022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46296</v>
      </c>
      <c r="F16" t="inlineStr">
        <is>
          <t>STOCKHOLMS LÄN</t>
        </is>
      </c>
      <c r="G16" t="inlineStr">
        <is>
          <t>BOTKYRKA</t>
        </is>
      </c>
      <c r="I16" t="n">
        <v>3.1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Svart trolldruva
Gullviva</t>
        </is>
      </c>
      <c r="W16">
        <f>HYPERLINK("https://klasma.github.io/Logging_0127/artfynd/A 18100-2022 artfynd.xlsx", "A 18100-2022")</f>
        <v/>
      </c>
      <c r="X16">
        <f>HYPERLINK("https://klasma.github.io/Logging_0127/kartor/A 18100-2022 karta.png", "A 18100-2022")</f>
        <v/>
      </c>
      <c r="Y16">
        <f>HYPERLINK("https://klasma.github.io/Logging_0127/kartor_geotiff/A 18100-2022 georefererad karta.tif", "A 18100-2022")</f>
        <v/>
      </c>
      <c r="AA16">
        <f>HYPERLINK("https://klasma.github.io/Logging_0127/klagomål/A 18100-2022 FSC-klagomål.docx", "A 18100-2022")</f>
        <v/>
      </c>
      <c r="AB16">
        <f>HYPERLINK("https://klasma.github.io/Logging_0127/klagomålsmail/A 18100-2022 FSC-klagomål mail.docx", "A 18100-2022")</f>
        <v/>
      </c>
      <c r="AC16">
        <f>HYPERLINK("https://klasma.github.io/Logging_0127/tillsyn/A 18100-2022 tillsynsbegäran.docx", "A 18100-2022")</f>
        <v/>
      </c>
      <c r="AD16">
        <f>HYPERLINK("https://klasma.github.io/Logging_0127/tillsynsmail/A 18100-2022 tillsynsbegäran mail.docx", "A 18100-2022")</f>
        <v/>
      </c>
    </row>
    <row r="17" ht="15" customHeight="1">
      <c r="A17" t="inlineStr">
        <is>
          <t>A 30378-2024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45491</v>
      </c>
      <c r="E17" s="1" t="n">
        <v>46296</v>
      </c>
      <c r="F17" t="inlineStr">
        <is>
          <t>STOCKHOLMS LÄN</t>
        </is>
      </c>
      <c r="G17" t="inlineStr">
        <is>
          <t>BOTKYRKA</t>
        </is>
      </c>
      <c r="I17" t="n">
        <v>0.3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Mindre tåtelsmygare
Svinrot</t>
        </is>
      </c>
      <c r="W17">
        <f>HYPERLINK("https://klasma.github.io/Logging_0127/artfynd/A 30378-2024 artfynd.xlsx", "A 30378-2024")</f>
        <v/>
      </c>
      <c r="X17">
        <f>HYPERLINK("https://klasma.github.io/Logging_0127/kartor/A 30378-2024 karta.png", "A 30378-2024")</f>
        <v/>
      </c>
      <c r="Y17">
        <f>HYPERLINK("https://klasma.github.io/Logging_0127/kartor_geotiff/A 30378-2024 georefererad karta.tif", "A 30378-2024")</f>
        <v/>
      </c>
      <c r="AA17">
        <f>HYPERLINK("https://klasma.github.io/Logging_0127/klagomål/A 30378-2024 FSC-klagomål.docx", "A 30378-2024")</f>
        <v/>
      </c>
      <c r="AB17">
        <f>HYPERLINK("https://klasma.github.io/Logging_0127/klagomålsmail/A 30378-2024 FSC-klagomål mail.docx", "A 30378-2024")</f>
        <v/>
      </c>
      <c r="AC17">
        <f>HYPERLINK("https://klasma.github.io/Logging_0127/tillsyn/A 30378-2024 tillsynsbegäran.docx", "A 30378-2024")</f>
        <v/>
      </c>
      <c r="AD17">
        <f>HYPERLINK("https://klasma.github.io/Logging_0127/tillsynsmail/A 30378-2024 tillsynsbegäran mail.docx", "A 30378-2024")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46296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Motaggsvamp
Svartvit taggsvamp</t>
        </is>
      </c>
      <c r="W18">
        <f>HYPERLINK("https://klasma.github.io/Logging_0127/artfynd/A 15905-2022 artfynd.xlsx", "A 15905-2022")</f>
        <v/>
      </c>
      <c r="X18">
        <f>HYPERLINK("https://klasma.github.io/Logging_0127/kartor/A 15905-2022 karta.png", "A 15905-2022")</f>
        <v/>
      </c>
      <c r="Y18">
        <f>HYPERLINK("https://klasma.github.io/Logging_0127/kartor_geotiff/A 15905-2022 georefererad karta.tif", "A 15905-2022")</f>
        <v/>
      </c>
      <c r="AA18">
        <f>HYPERLINK("https://klasma.github.io/Logging_0127/klagomål/A 15905-2022 FSC-klagomål.docx", "A 15905-2022")</f>
        <v/>
      </c>
      <c r="AB18">
        <f>HYPERLINK("https://klasma.github.io/Logging_0127/klagomålsmail/A 15905-2022 FSC-klagomål mail.docx", "A 15905-2022")</f>
        <v/>
      </c>
      <c r="AC18">
        <f>HYPERLINK("https://klasma.github.io/Logging_0127/tillsyn/A 15905-2022 tillsynsbegäran.docx", "A 15905-2022")</f>
        <v/>
      </c>
      <c r="AD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46296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46296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46296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46296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46296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3726-2022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46296</v>
      </c>
      <c r="F24" t="inlineStr">
        <is>
          <t>STOCKHOLMS LÄN</t>
        </is>
      </c>
      <c r="G24" t="inlineStr">
        <is>
          <t>BOTKYRKA</t>
        </is>
      </c>
      <c r="I24" t="n">
        <v>17.1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Blomkålssvamp</t>
        </is>
      </c>
      <c r="W24">
        <f>HYPERLINK("https://klasma.github.io/Logging_0127/artfynd/A 3726-2022 artfynd.xlsx", "A 3726-2022")</f>
        <v/>
      </c>
      <c r="X24">
        <f>HYPERLINK("https://klasma.github.io/Logging_0127/kartor/A 3726-2022 karta.png", "A 3726-2022")</f>
        <v/>
      </c>
      <c r="Y24">
        <f>HYPERLINK("https://klasma.github.io/Logging_0127/kartor_geotiff/A 3726-2022 georefererad karta.tif", "A 3726-2022")</f>
        <v/>
      </c>
      <c r="AA24">
        <f>HYPERLINK("https://klasma.github.io/Logging_0127/klagomål/A 3726-2022 FSC-klagomål.docx", "A 3726-2022")</f>
        <v/>
      </c>
      <c r="AB24">
        <f>HYPERLINK("https://klasma.github.io/Logging_0127/klagomålsmail/A 3726-2022 FSC-klagomål mail.docx", "A 3726-2022")</f>
        <v/>
      </c>
      <c r="AC24">
        <f>HYPERLINK("https://klasma.github.io/Logging_0127/tillsyn/A 3726-2022 tillsynsbegäran.docx", "A 3726-2022")</f>
        <v/>
      </c>
      <c r="AD24">
        <f>HYPERLINK("https://klasma.github.io/Logging_0127/tillsynsmail/A 3726-2022 tillsynsbegäran mail.docx", "A 3726-2022")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46296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46296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46296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44938</v>
      </c>
      <c r="E28" s="1" t="n">
        <v>46296</v>
      </c>
      <c r="F28" t="inlineStr">
        <is>
          <t>STOCKHOLMS LÄN</t>
        </is>
      </c>
      <c r="G28" t="inlineStr">
        <is>
          <t>BOTKYRKA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HYPERLINK("https://klasma.github.io/Logging_0127/artfynd/A 1691-2023 artfynd.xlsx", "A 1691-2023")</f>
        <v/>
      </c>
      <c r="X28">
        <f>HYPERLINK("https://klasma.github.io/Logging_0127/kartor/A 1691-2023 karta.png", "A 1691-2023")</f>
        <v/>
      </c>
      <c r="Y28">
        <f>HYPERLINK("https://klasma.github.io/Logging_0127/kartor_geotiff/A 1691-2023 georefererad karta.tif", "A 1691-2023")</f>
        <v/>
      </c>
      <c r="AA28">
        <f>HYPERLINK("https://klasma.github.io/Logging_0127/klagomål/A 1691-2023 FSC-klagomål.docx", "A 1691-2023")</f>
        <v/>
      </c>
      <c r="AB28">
        <f>HYPERLINK("https://klasma.github.io/Logging_0127/klagomålsmail/A 1691-2023 FSC-klagomål mail.docx", "A 1691-2023")</f>
        <v/>
      </c>
      <c r="AC28">
        <f>HYPERLINK("https://klasma.github.io/Logging_0127/tillsyn/A 1691-2023 tillsynsbegäran.docx", "A 1691-2023")</f>
        <v/>
      </c>
      <c r="AD28">
        <f>HYPERLINK("https://klasma.github.io/Logging_0127/tillsynsmail/A 1691-2023 tillsynsbegäran mail.docx", "A 1691-2023")</f>
        <v/>
      </c>
    </row>
    <row r="29" ht="15" customHeight="1">
      <c r="A29" t="inlineStr">
        <is>
          <t>A 61514-2022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44916</v>
      </c>
      <c r="E29" s="1" t="n">
        <v>46296</v>
      </c>
      <c r="F29" t="inlineStr">
        <is>
          <t>STOCKHOLMS LÄN</t>
        </is>
      </c>
      <c r="G29" t="inlineStr">
        <is>
          <t>BOTKYRKA</t>
        </is>
      </c>
      <c r="I29" t="n">
        <v>1.3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Vanlig groda</t>
        </is>
      </c>
      <c r="W29">
        <f>HYPERLINK("https://klasma.github.io/Logging_0127/artfynd/A 61514-2022 artfynd.xlsx", "A 61514-2022")</f>
        <v/>
      </c>
      <c r="X29">
        <f>HYPERLINK("https://klasma.github.io/Logging_0127/kartor/A 61514-2022 karta.png", "A 61514-2022")</f>
        <v/>
      </c>
      <c r="Y29">
        <f>HYPERLINK("https://klasma.github.io/Logging_0127/kartor_geotiff/A 61514-2022 georefererad karta.tif", "A 61514-2022")</f>
        <v/>
      </c>
      <c r="AA29">
        <f>HYPERLINK("https://klasma.github.io/Logging_0127/klagomål/A 61514-2022 FSC-klagomål.docx", "A 61514-2022")</f>
        <v/>
      </c>
      <c r="AB29">
        <f>HYPERLINK("https://klasma.github.io/Logging_0127/klagomålsmail/A 61514-2022 FSC-klagomål mail.docx", "A 61514-2022")</f>
        <v/>
      </c>
      <c r="AC29">
        <f>HYPERLINK("https://klasma.github.io/Logging_0127/tillsyn/A 61514-2022 tillsynsbegäran.docx", "A 61514-2022")</f>
        <v/>
      </c>
      <c r="AD29">
        <f>HYPERLINK("https://klasma.github.io/Logging_0127/tillsynsmail/A 61514-2022 tillsynsbegäran mail.docx", "A 61514-2022")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46296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46296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46296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46296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46296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46296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46296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46296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46296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46296</v>
      </c>
      <c r="F40" t="inlineStr">
        <is>
          <t>STOCKHOLMS LÄN</t>
        </is>
      </c>
      <c r="G40" t="inlineStr">
        <is>
          <t>BOTKYRKA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46296</v>
      </c>
      <c r="F41" t="inlineStr">
        <is>
          <t>STOCKHOLMS LÄN</t>
        </is>
      </c>
      <c r="G41" t="inlineStr">
        <is>
          <t>BOTKYRKA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45678</v>
      </c>
      <c r="E42" s="1" t="n">
        <v>46296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46296</v>
      </c>
      <c r="F43" t="inlineStr">
        <is>
          <t>STOCKHOLMS LÄN</t>
        </is>
      </c>
      <c r="G43" t="inlineStr">
        <is>
          <t>BOTKYRKA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46296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6059-2022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44599</v>
      </c>
      <c r="E45" s="1" t="n">
        <v>46296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46296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46296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46296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25217-2024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45462</v>
      </c>
      <c r="E49" s="1" t="n">
        <v>46296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46296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46296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46296</v>
      </c>
      <c r="F52" t="inlineStr">
        <is>
          <t>STOCKHOLMS LÄN</t>
        </is>
      </c>
      <c r="G52" t="inlineStr">
        <is>
          <t>BOTKYRKA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46296</v>
      </c>
      <c r="F53" t="inlineStr">
        <is>
          <t>STOCKHOLMS LÄN</t>
        </is>
      </c>
      <c r="G53" t="inlineStr">
        <is>
          <t>BOTKYRKA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45020</v>
      </c>
      <c r="E54" s="1" t="n">
        <v>46296</v>
      </c>
      <c r="F54" t="inlineStr">
        <is>
          <t>STOCKHOLMS LÄN</t>
        </is>
      </c>
      <c r="G54" t="inlineStr">
        <is>
          <t>BOTKYRKA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45740</v>
      </c>
      <c r="E55" s="1" t="n">
        <v>46296</v>
      </c>
      <c r="F55" t="inlineStr">
        <is>
          <t>STOCKHOLMS LÄN</t>
        </is>
      </c>
      <c r="G55" t="inlineStr">
        <is>
          <t>BOTKYRKA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30622-2024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45495</v>
      </c>
      <c r="E56" s="1" t="n">
        <v>46296</v>
      </c>
      <c r="F56" t="inlineStr">
        <is>
          <t>STOCKHOLMS LÄN</t>
        </is>
      </c>
      <c r="G56" t="inlineStr">
        <is>
          <t>BOTKYRKA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46296</v>
      </c>
      <c r="F57" t="inlineStr">
        <is>
          <t>STOCKHOLMS LÄN</t>
        </is>
      </c>
      <c r="G57" t="inlineStr">
        <is>
          <t>BOTKYRKA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46296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46296</v>
      </c>
      <c r="F59" t="inlineStr">
        <is>
          <t>STOCKHOLMS LÄN</t>
        </is>
      </c>
      <c r="G59" t="inlineStr">
        <is>
          <t>BOTKYRKA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45406</v>
      </c>
      <c r="E60" s="1" t="n">
        <v>46296</v>
      </c>
      <c r="F60" t="inlineStr">
        <is>
          <t>STOCKHOLMS LÄN</t>
        </is>
      </c>
      <c r="G60" t="inlineStr">
        <is>
          <t>BOTKYRKA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46296</v>
      </c>
      <c r="F61" t="inlineStr">
        <is>
          <t>STOCKHOLMS LÄN</t>
        </is>
      </c>
      <c r="G61" t="inlineStr">
        <is>
          <t>BOTKYRKA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45029</v>
      </c>
      <c r="E62" s="1" t="n">
        <v>46296</v>
      </c>
      <c r="F62" t="inlineStr">
        <is>
          <t>STOCKHOLMS LÄN</t>
        </is>
      </c>
      <c r="G62" t="inlineStr">
        <is>
          <t>BOTKYRKA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45965</v>
      </c>
      <c r="E63" s="1" t="n">
        <v>46296</v>
      </c>
      <c r="F63" t="inlineStr">
        <is>
          <t>STOCKHOLMS LÄN</t>
        </is>
      </c>
      <c r="G63" t="inlineStr">
        <is>
          <t>BOTKYRKA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46087</v>
      </c>
      <c r="E64" s="1" t="n">
        <v>46296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46296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46296</v>
      </c>
      <c r="F66" t="inlineStr">
        <is>
          <t>STOCKHOLMS LÄN</t>
        </is>
      </c>
      <c r="G66" t="inlineStr">
        <is>
          <t>BOTKYRKA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46296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46296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46296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27717-2026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46190</v>
      </c>
      <c r="E70" s="1" t="n">
        <v>46296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46296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46296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2026-10-01T02:01:04Z</dcterms:created>
  <dcterms:modified xmlns:dcterms="http://purl.org/dc/terms/" xmlns:xsi="http://www.w3.org/2001/XMLSchema-instance" xsi:type="dcterms:W3CDTF">2026-10-01T02:01:04Z</dcterms:modified>
</cp:coreProperties>
</file>