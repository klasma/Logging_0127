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46269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46269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46269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46269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46269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46269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46269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46269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46269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46269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46269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46269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46269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46269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46269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46269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60406-2025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45995</v>
      </c>
      <c r="E22" s="1" t="n">
        <v>46269</v>
      </c>
      <c r="F22" t="inlineStr">
        <is>
          <t>STOCKHOLMS LÄN</t>
        </is>
      </c>
      <c r="G22" t="inlineStr">
        <is>
          <t>BOTKYRKA</t>
        </is>
      </c>
      <c r="H22" t="inlineStr">
        <is>
          <t>Övriga Aktiebolag</t>
        </is>
      </c>
      <c r="I22" t="n">
        <v>2.3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Mindre märgborre</t>
        </is>
      </c>
      <c r="W22">
        <f>HYPERLINK("https://klasma.github.io/Logging_0127/artfynd/A 60406-2025 artfynd.xlsx", "A 60406-2025")</f>
        <v/>
      </c>
      <c r="X22">
        <f>HYPERLINK("https://klasma.github.io/Logging_0127/kartor/A 60406-2025 karta.png", "A 60406-2025")</f>
        <v/>
      </c>
      <c r="Y22">
        <f>HYPERLINK("https://klasma.github.io/Logging_0127/kartor_geotiff/A 60406-2025 georefererad karta.tif", "A 60406-2025")</f>
        <v/>
      </c>
      <c r="AA22">
        <f>HYPERLINK("https://klasma.github.io/Logging_0127/klagomål/A 60406-2025 FSC-klagomål.docx", "A 60406-2025")</f>
        <v/>
      </c>
      <c r="AB22">
        <f>HYPERLINK("https://klasma.github.io/Logging_0127/klagomålsmail/A 60406-2025 FSC-klagomål mail.docx", "A 60406-2025")</f>
        <v/>
      </c>
      <c r="AC22">
        <f>HYPERLINK("https://klasma.github.io/Logging_0127/tillsyn/A 60406-2025 tillsynsbegäran.docx", "A 60406-2025")</f>
        <v/>
      </c>
      <c r="AD22">
        <f>HYPERLINK("https://klasma.github.io/Logging_0127/tillsynsmail/A 60406-2025 tillsynsbegäran mail.docx", "A 60406-2025")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46269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61514-2022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46269</v>
      </c>
      <c r="F24" t="inlineStr">
        <is>
          <t>STOCKHOLMS LÄN</t>
        </is>
      </c>
      <c r="G24" t="inlineStr">
        <is>
          <t>BOTKYRKA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groda</t>
        </is>
      </c>
      <c r="W24">
        <f>HYPERLINK("https://klasma.github.io/Logging_0127/artfynd/A 61514-2022 artfynd.xlsx", "A 61514-2022")</f>
        <v/>
      </c>
      <c r="X24">
        <f>HYPERLINK("https://klasma.github.io/Logging_0127/kartor/A 61514-2022 karta.png", "A 61514-2022")</f>
        <v/>
      </c>
      <c r="Y24">
        <f>HYPERLINK("https://klasma.github.io/Logging_0127/kartor_geotiff/A 61514-2022 georefererad karta.tif", "A 61514-2022")</f>
        <v/>
      </c>
      <c r="AA24">
        <f>HYPERLINK("https://klasma.github.io/Logging_0127/klagomål/A 61514-2022 FSC-klagomål.docx", "A 61514-2022")</f>
        <v/>
      </c>
      <c r="AB24">
        <f>HYPERLINK("https://klasma.github.io/Logging_0127/klagomålsmail/A 61514-2022 FSC-klagomål mail.docx", "A 61514-2022")</f>
        <v/>
      </c>
      <c r="AC24">
        <f>HYPERLINK("https://klasma.github.io/Logging_0127/tillsyn/A 61514-2022 tillsynsbegäran.docx", "A 61514-2022")</f>
        <v/>
      </c>
      <c r="AD24">
        <f>HYPERLINK("https://klasma.github.io/Logging_0127/tillsynsmail/A 61514-2022 tillsynsbegäran mail.docx", "A 61514-2022")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46269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46269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46269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46269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15690-2023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45020</v>
      </c>
      <c r="E29" s="1" t="n">
        <v>46269</v>
      </c>
      <c r="F29" t="inlineStr">
        <is>
          <t>STOCKHOLMS LÄN</t>
        </is>
      </c>
      <c r="G29" t="inlineStr">
        <is>
          <t>BOTKYRKA</t>
        </is>
      </c>
      <c r="I29" t="n">
        <v>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HYPERLINK("https://klasma.github.io/Logging_0127/artfynd/A 15690-2023 artfynd.xlsx", "A 15690-2023")</f>
        <v/>
      </c>
      <c r="X29">
        <f>HYPERLINK("https://klasma.github.io/Logging_0127/kartor/A 15690-2023 karta.png", "A 15690-2023")</f>
        <v/>
      </c>
      <c r="Y29">
        <f>HYPERLINK("https://klasma.github.io/Logging_0127/kartor_geotiff/A 15690-2023 georefererad karta.tif", "A 15690-2023")</f>
        <v/>
      </c>
      <c r="AA29">
        <f>HYPERLINK("https://klasma.github.io/Logging_0127/klagomål/A 15690-2023 FSC-klagomål.docx", "A 15690-2023")</f>
        <v/>
      </c>
      <c r="AB29">
        <f>HYPERLINK("https://klasma.github.io/Logging_0127/klagomålsmail/A 15690-2023 FSC-klagomål mail.docx", "A 15690-2023")</f>
        <v/>
      </c>
      <c r="AC29">
        <f>HYPERLINK("https://klasma.github.io/Logging_0127/tillsyn/A 15690-2023 tillsynsbegäran.docx", "A 15690-2023")</f>
        <v/>
      </c>
      <c r="AD29">
        <f>HYPERLINK("https://klasma.github.io/Logging_0127/tillsynsmail/A 15690-2023 tillsynsbegäran mail.docx", "A 15690-2023")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46269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46269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46269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46269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46269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44463</v>
      </c>
      <c r="E36" s="1" t="n">
        <v>46269</v>
      </c>
      <c r="F36" t="inlineStr">
        <is>
          <t>STOCKHOLMS LÄN</t>
        </is>
      </c>
      <c r="G36" t="inlineStr">
        <is>
          <t>BOTKYRKA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46269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46269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45020</v>
      </c>
      <c r="E39" s="1" t="n">
        <v>46269</v>
      </c>
      <c r="F39" t="inlineStr">
        <is>
          <t>STOCKHOLMS LÄN</t>
        </is>
      </c>
      <c r="G39" t="inlineStr">
        <is>
          <t>BOTKYRKA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46269</v>
      </c>
      <c r="F40" t="inlineStr">
        <is>
          <t>STOCKHOLMS LÄN</t>
        </is>
      </c>
      <c r="G40" t="inlineStr">
        <is>
          <t>BOTKYRKA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46269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46269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46269</v>
      </c>
      <c r="F43" t="inlineStr">
        <is>
          <t>STOCKHOLMS LÄN</t>
        </is>
      </c>
      <c r="G43" t="inlineStr">
        <is>
          <t>BOTKYRKA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46269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46269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46269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45678</v>
      </c>
      <c r="E47" s="1" t="n">
        <v>46269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73155-2021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46269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45376</v>
      </c>
      <c r="E49" s="1" t="n">
        <v>46269</v>
      </c>
      <c r="F49" t="inlineStr">
        <is>
          <t>STOCKHOLMS LÄN</t>
        </is>
      </c>
      <c r="G49" t="inlineStr">
        <is>
          <t>BOTKYRKA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46269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46269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46269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44599</v>
      </c>
      <c r="E53" s="1" t="n">
        <v>46269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45355</v>
      </c>
      <c r="E54" s="1" t="n">
        <v>46269</v>
      </c>
      <c r="F54" t="inlineStr">
        <is>
          <t>STOCKHOLMS LÄN</t>
        </is>
      </c>
      <c r="G54" t="inlineStr">
        <is>
          <t>BOTKYRKA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46269</v>
      </c>
      <c r="F55" t="inlineStr">
        <is>
          <t>STOCKHOLMS LÄN</t>
        </is>
      </c>
      <c r="G55" t="inlineStr">
        <is>
          <t>BOTKYRKA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46269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46269</v>
      </c>
      <c r="F57" t="inlineStr">
        <is>
          <t>STOCKHOLMS LÄN</t>
        </is>
      </c>
      <c r="G57" t="inlineStr">
        <is>
          <t>BOTKYRKA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46269</v>
      </c>
      <c r="F58" t="inlineStr">
        <is>
          <t>STOCKHOLMS LÄN</t>
        </is>
      </c>
      <c r="G58" t="inlineStr">
        <is>
          <t>BOTKYRKA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46269</v>
      </c>
      <c r="F59" t="inlineStr">
        <is>
          <t>STOCKHOLMS LÄN</t>
        </is>
      </c>
      <c r="G59" t="inlineStr">
        <is>
          <t>BOTKYRKA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46269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46269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46269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27717-2026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46269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46269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46269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46269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46269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46269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46269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46269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46269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46269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46269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2026-09-04T02:07:27Z</dcterms:created>
  <dcterms:modified xmlns:dcterms="http://purl.org/dc/terms/" xmlns:xsi="http://www.w3.org/2001/XMLSchema-instance" xsi:type="dcterms:W3CDTF">2026-09-04T02:07:27Z</dcterms:modified>
</cp:coreProperties>
</file>