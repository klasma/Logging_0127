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46122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46122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46122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46122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46122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46122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46122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46122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46122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46122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46122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46122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30067-2025</t>
        </is>
      </c>
      <c r="B14" s="1" t="n">
        <v>45826</v>
      </c>
      <c r="C14" s="1" t="n">
        <v>46122</v>
      </c>
      <c r="D14" t="inlineStr">
        <is>
          <t>STOCKHOLMS LÄN</t>
        </is>
      </c>
      <c r="E14" t="inlineStr">
        <is>
          <t>BOTKYRKA</t>
        </is>
      </c>
      <c r="G14" t="n">
        <v>11.9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Åkergroda
Vanlig groda</t>
        </is>
      </c>
      <c r="S14">
        <f>HYPERLINK("https://klasma.github.io/Logging_0127/artfynd/A 30067-2025 artfynd.xlsx", "A 30067-2025")</f>
        <v/>
      </c>
      <c r="T14">
        <f>HYPERLINK("https://klasma.github.io/Logging_0127/kartor/A 30067-2025 karta.png", "A 30067-2025")</f>
        <v/>
      </c>
      <c r="V14">
        <f>HYPERLINK("https://klasma.github.io/Logging_0127/klagomål/A 30067-2025 FSC-klagomål.docx", "A 30067-2025")</f>
        <v/>
      </c>
      <c r="W14">
        <f>HYPERLINK("https://klasma.github.io/Logging_0127/klagomålsmail/A 30067-2025 FSC-klagomål mail.docx", "A 30067-2025")</f>
        <v/>
      </c>
      <c r="X14">
        <f>HYPERLINK("https://klasma.github.io/Logging_0127/tillsyn/A 30067-2025 tillsynsbegäran.docx", "A 30067-2025")</f>
        <v/>
      </c>
      <c r="Y14">
        <f>HYPERLINK("https://klasma.github.io/Logging_0127/tillsynsmail/A 30067-2025 tillsynsbegäran mail.docx", "A 30067-2025")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46122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12590-2026</t>
        </is>
      </c>
      <c r="B16" s="1" t="n">
        <v>46090.73949074074</v>
      </c>
      <c r="C16" s="1" t="n">
        <v>46122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HYPERLINK("https://klasma.github.io/Logging_0127/artfynd/A 12590-2026 artfynd.xlsx", "A 12590-2026")</f>
        <v/>
      </c>
      <c r="T16">
        <f>HYPERLINK("https://klasma.github.io/Logging_0127/kartor/A 12590-2026 karta.png", "A 12590-2026")</f>
        <v/>
      </c>
      <c r="V16">
        <f>HYPERLINK("https://klasma.github.io/Logging_0127/klagomål/A 12590-2026 FSC-klagomål.docx", "A 12590-2026")</f>
        <v/>
      </c>
      <c r="W16">
        <f>HYPERLINK("https://klasma.github.io/Logging_0127/klagomålsmail/A 12590-2026 FSC-klagomål mail.docx", "A 12590-2026")</f>
        <v/>
      </c>
      <c r="X16">
        <f>HYPERLINK("https://klasma.github.io/Logging_0127/tillsyn/A 12590-2026 tillsynsbegäran.docx", "A 12590-2026")</f>
        <v/>
      </c>
      <c r="Y16">
        <f>HYPERLINK("https://klasma.github.io/Logging_0127/tillsynsmail/A 12590-2026 tillsynsbegäran mail.docx", "A 12590-2026")</f>
        <v/>
      </c>
      <c r="Z16">
        <f>HYPERLINK("https://klasma.github.io/Logging_0127/fåglar/A 12590-2026 prioriterade fågelarter.docx", "A 12590-2026")</f>
        <v/>
      </c>
    </row>
    <row r="17" ht="15" customHeight="1">
      <c r="A17" t="inlineStr">
        <is>
          <t>A 12305-2026</t>
        </is>
      </c>
      <c r="B17" s="1" t="n">
        <v>46087.57827546296</v>
      </c>
      <c r="C17" s="1" t="n">
        <v>46122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12305-2026 artfynd.xlsx", "A 12305-2026")</f>
        <v/>
      </c>
      <c r="T17">
        <f>HYPERLINK("https://klasma.github.io/Logging_0127/kartor/A 12305-2026 karta.png", "A 12305-2026")</f>
        <v/>
      </c>
      <c r="V17">
        <f>HYPERLINK("https://klasma.github.io/Logging_0127/klagomål/A 12305-2026 FSC-klagomål.docx", "A 12305-2026")</f>
        <v/>
      </c>
      <c r="W17">
        <f>HYPERLINK("https://klasma.github.io/Logging_0127/klagomålsmail/A 12305-2026 FSC-klagomål mail.docx", "A 12305-2026")</f>
        <v/>
      </c>
      <c r="X17">
        <f>HYPERLINK("https://klasma.github.io/Logging_0127/tillsyn/A 12305-2026 tillsynsbegäran.docx", "A 12305-2026")</f>
        <v/>
      </c>
      <c r="Y17">
        <f>HYPERLINK("https://klasma.github.io/Logging_0127/tillsynsmail/A 12305-2026 tillsynsbegäran mail.docx", "A 12305-2026")</f>
        <v/>
      </c>
      <c r="Z17">
        <f>HYPERLINK("https://klasma.github.io/Logging_0127/fåglar/A 12305-2026 prioriterade fågelarter.docx", "A 12305-2026")</f>
        <v/>
      </c>
    </row>
    <row r="18" ht="15" customHeight="1">
      <c r="A18" t="inlineStr">
        <is>
          <t>A 12842-2026</t>
        </is>
      </c>
      <c r="B18" s="1" t="n">
        <v>46092.44197916667</v>
      </c>
      <c r="C18" s="1" t="n">
        <v>46122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Fyrflikig jordstjärna</t>
        </is>
      </c>
      <c r="S18">
        <f>HYPERLINK("https://klasma.github.io/Logging_0127/artfynd/A 12842-2026 artfynd.xlsx", "A 12842-2026")</f>
        <v/>
      </c>
      <c r="T18">
        <f>HYPERLINK("https://klasma.github.io/Logging_0127/kartor/A 12842-2026 karta.png", "A 12842-2026")</f>
        <v/>
      </c>
      <c r="V18">
        <f>HYPERLINK("https://klasma.github.io/Logging_0127/klagomål/A 12842-2026 FSC-klagomål.docx", "A 12842-2026")</f>
        <v/>
      </c>
      <c r="W18">
        <f>HYPERLINK("https://klasma.github.io/Logging_0127/klagomålsmail/A 12842-2026 FSC-klagomål mail.docx", "A 12842-2026")</f>
        <v/>
      </c>
      <c r="X18">
        <f>HYPERLINK("https://klasma.github.io/Logging_0127/tillsyn/A 12842-2026 tillsynsbegäran.docx", "A 12842-2026")</f>
        <v/>
      </c>
      <c r="Y18">
        <f>HYPERLINK("https://klasma.github.io/Logging_0127/tillsynsmail/A 12842-2026 tillsynsbegäran mail.docx", "A 12842-2026")</f>
        <v/>
      </c>
    </row>
    <row r="19" ht="15" customHeight="1">
      <c r="A19" t="inlineStr">
        <is>
          <t>A 14214-2025</t>
        </is>
      </c>
      <c r="B19" s="1" t="n">
        <v>45740.58291666667</v>
      </c>
      <c r="C19" s="1" t="n">
        <v>46122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Stare</t>
        </is>
      </c>
      <c r="S19">
        <f>HYPERLINK("https://klasma.github.io/Logging_0127/artfynd/A 14214-2025 artfynd.xlsx", "A 14214-2025")</f>
        <v/>
      </c>
      <c r="T19">
        <f>HYPERLINK("https://klasma.github.io/Logging_0127/kartor/A 14214-2025 karta.png", "A 14214-2025")</f>
        <v/>
      </c>
      <c r="V19">
        <f>HYPERLINK("https://klasma.github.io/Logging_0127/klagomål/A 14214-2025 FSC-klagomål.docx", "A 14214-2025")</f>
        <v/>
      </c>
      <c r="W19">
        <f>HYPERLINK("https://klasma.github.io/Logging_0127/klagomålsmail/A 14214-2025 FSC-klagomål mail.docx", "A 14214-2025")</f>
        <v/>
      </c>
      <c r="X19">
        <f>HYPERLINK("https://klasma.github.io/Logging_0127/tillsyn/A 14214-2025 tillsynsbegäran.docx", "A 14214-2025")</f>
        <v/>
      </c>
      <c r="Y19">
        <f>HYPERLINK("https://klasma.github.io/Logging_0127/tillsynsmail/A 14214-2025 tillsynsbegäran mail.docx", "A 14214-2025")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46122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33801-2025</t>
        </is>
      </c>
      <c r="B21" s="1" t="n">
        <v>45842</v>
      </c>
      <c r="C21" s="1" t="n">
        <v>46122</v>
      </c>
      <c r="D21" t="inlineStr">
        <is>
          <t>STOCKHOLMS LÄN</t>
        </is>
      </c>
      <c r="E21" t="inlineStr">
        <is>
          <t>BOTKYRKA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HYPERLINK("https://klasma.github.io/Logging_0127/artfynd/A 33801-2025 artfynd.xlsx", "A 33801-2025")</f>
        <v/>
      </c>
      <c r="T21">
        <f>HYPERLINK("https://klasma.github.io/Logging_0127/kartor/A 33801-2025 karta.png", "A 33801-2025")</f>
        <v/>
      </c>
      <c r="V21">
        <f>HYPERLINK("https://klasma.github.io/Logging_0127/klagomål/A 33801-2025 FSC-klagomål.docx", "A 33801-2025")</f>
        <v/>
      </c>
      <c r="W21">
        <f>HYPERLINK("https://klasma.github.io/Logging_0127/klagomålsmail/A 33801-2025 FSC-klagomål mail.docx", "A 33801-2025")</f>
        <v/>
      </c>
      <c r="X21">
        <f>HYPERLINK("https://klasma.github.io/Logging_0127/tillsyn/A 33801-2025 tillsynsbegäran.docx", "A 33801-2025")</f>
        <v/>
      </c>
      <c r="Y21">
        <f>HYPERLINK("https://klasma.github.io/Logging_0127/tillsynsmail/A 33801-2025 tillsynsbegäran mail.docx", "A 33801-2025")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46122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46122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46122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46122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46122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46122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46122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46122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46122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46122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46122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46122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46122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46122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46122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46122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46122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46122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46122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46122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46122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46122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46122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46122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46122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46122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46122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61514-2022</t>
        </is>
      </c>
      <c r="B49" s="1" t="n">
        <v>44916</v>
      </c>
      <c r="C49" s="1" t="n">
        <v>46122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46122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12306-2026</t>
        </is>
      </c>
      <c r="B51" s="1" t="n">
        <v>46087.57949074074</v>
      </c>
      <c r="C51" s="1" t="n">
        <v>46122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12294-2026</t>
        </is>
      </c>
      <c r="B52" s="1" t="n">
        <v>46087.55737268519</v>
      </c>
      <c r="C52" s="1" t="n">
        <v>46122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46122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46122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46122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21285-2023</t>
        </is>
      </c>
      <c r="B56" s="1" t="n">
        <v>45062</v>
      </c>
      <c r="C56" s="1" t="n">
        <v>46122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46122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3021-2025</t>
        </is>
      </c>
      <c r="B58" s="1" t="n">
        <v>45678.57962962963</v>
      </c>
      <c r="C58" s="1" t="n">
        <v>46122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46122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46122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44550.5162037037</v>
      </c>
      <c r="C61" s="1" t="n">
        <v>46122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44550.61508101852</v>
      </c>
      <c r="C62" s="1" t="n">
        <v>46122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15690-2023</t>
        </is>
      </c>
      <c r="B63" s="1" t="n">
        <v>45020</v>
      </c>
      <c r="C63" s="1" t="n">
        <v>46122</v>
      </c>
      <c r="D63" t="inlineStr">
        <is>
          <t>STOCKHOLMS LÄN</t>
        </is>
      </c>
      <c r="E63" t="inlineStr">
        <is>
          <t>BOTKYRKA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46122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46122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46122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8528-2024</t>
        </is>
      </c>
      <c r="B67" s="1" t="n">
        <v>45355.49099537037</v>
      </c>
      <c r="C67" s="1" t="n">
        <v>46122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46122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35197-2024</t>
        </is>
      </c>
      <c r="B69" s="1" t="n">
        <v>45530</v>
      </c>
      <c r="C69" s="1" t="n">
        <v>46122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46122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46122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16483-2023</t>
        </is>
      </c>
      <c r="B72" s="1" t="n">
        <v>45029</v>
      </c>
      <c r="C72" s="1" t="n">
        <v>46122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46122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61320-2024</t>
        </is>
      </c>
      <c r="B74" s="1" t="n">
        <v>45646.33262731481</v>
      </c>
      <c r="C74" s="1" t="n">
        <v>46122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46122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46122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14217-2025</t>
        </is>
      </c>
      <c r="B77" s="1" t="n">
        <v>45740.58534722222</v>
      </c>
      <c r="C77" s="1" t="n">
        <v>46122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61242-2022</t>
        </is>
      </c>
      <c r="B78" s="1" t="n">
        <v>44915</v>
      </c>
      <c r="C78" s="1" t="n">
        <v>46122</v>
      </c>
      <c r="D78" t="inlineStr">
        <is>
          <t>STOCKHOLMS LÄN</t>
        </is>
      </c>
      <c r="E78" t="inlineStr">
        <is>
          <t>BOTKYRKA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45376.47072916666</v>
      </c>
      <c r="C79" s="1" t="n">
        <v>46122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2026-04-10T10:48:36Z</dcterms:created>
  <dcterms:modified xmlns:dcterms="http://purl.org/dc/terms/" xmlns:xsi="http://www.w3.org/2001/XMLSchema-instance" xsi:type="dcterms:W3CDTF">2026-04-10T10:48:36Z</dcterms:modified>
</cp:coreProperties>
</file>