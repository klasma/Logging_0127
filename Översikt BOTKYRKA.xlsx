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46249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46249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46249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46249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46249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46249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46249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48514-2025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46249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17.1</v>
      </c>
      <c r="J9" t="n">
        <v>1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90</v>
      </c>
      <c r="U9" t="n">
        <v>88</v>
      </c>
      <c r="V9" s="2" t="inlineStr">
        <is>
          <t>Igelkott
Lammticka
Motaggsvamp
Skarp dropptaggsvamp
Svartvit taggsvamp
Tallticka
Talltita
Mindre märgborre</t>
        </is>
      </c>
      <c r="W9">
        <f>HYPERLINK("https://klasma.github.io/Logging_0127/artfynd/A 48514-2025 artfynd.xlsx", "A 48514-2025")</f>
        <v/>
      </c>
      <c r="X9">
        <f>HYPERLINK("https://klasma.github.io/Logging_0127/kartor/A 48514-2025 karta.png", "A 48514-2025")</f>
        <v/>
      </c>
      <c r="Y9">
        <f>HYPERLINK("https://klasma.github.io/Logging_0127/kartor_geotiff/A 48514-2025 georefererad karta.tif", "A 48514-2025")</f>
        <v/>
      </c>
      <c r="AA9">
        <f>HYPERLINK("https://klasma.github.io/Logging_0127/klagomål/A 48514-2025 FSC-klagomål.docx", "A 48514-2025")</f>
        <v/>
      </c>
      <c r="AB9">
        <f>HYPERLINK("https://klasma.github.io/Logging_0127/klagomålsmail/A 48514-2025 FSC-klagomål mail.docx", "A 48514-2025")</f>
        <v/>
      </c>
      <c r="AC9">
        <f>HYPERLINK("https://klasma.github.io/Logging_0127/tillsyn/A 48514-2025 tillsynsbegäran.docx", "A 48514-2025")</f>
        <v/>
      </c>
      <c r="AD9">
        <f>HYPERLINK("https://klasma.github.io/Logging_0127/tillsynsmail/A 48514-2025 tillsynsbegäran mail.docx", "A 48514-2025")</f>
        <v/>
      </c>
      <c r="AE9">
        <f>HYPERLINK("https://klasma.github.io/Logging_0127/fåglar/A 48514-2025 prioriterade fågelarter.docx", "A 48514-2025")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46249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46249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46249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46249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46249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46249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46249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46249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46249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30378-2024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45491</v>
      </c>
      <c r="E19" s="1" t="n">
        <v>46249</v>
      </c>
      <c r="F19" t="inlineStr">
        <is>
          <t>STOCKHOLMS LÄN</t>
        </is>
      </c>
      <c r="G19" t="inlineStr">
        <is>
          <t>BOTKYRKA</t>
        </is>
      </c>
      <c r="I19" t="n">
        <v>0.3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tåtelsmygare
Svinrot</t>
        </is>
      </c>
      <c r="W19">
        <f>HYPERLINK("https://klasma.github.io/Logging_0127/artfynd/A 30378-2024 artfynd.xlsx", "A 30378-2024")</f>
        <v/>
      </c>
      <c r="X19">
        <f>HYPERLINK("https://klasma.github.io/Logging_0127/kartor/A 30378-2024 karta.png", "A 30378-2024")</f>
        <v/>
      </c>
      <c r="Y19">
        <f>HYPERLINK("https://klasma.github.io/Logging_0127/kartor_geotiff/A 30378-2024 georefererad karta.tif", "A 30378-2024")</f>
        <v/>
      </c>
      <c r="AA19">
        <f>HYPERLINK("https://klasma.github.io/Logging_0127/klagomål/A 30378-2024 FSC-klagomål.docx", "A 30378-2024")</f>
        <v/>
      </c>
      <c r="AB19">
        <f>HYPERLINK("https://klasma.github.io/Logging_0127/klagomålsmail/A 30378-2024 FSC-klagomål mail.docx", "A 30378-2024")</f>
        <v/>
      </c>
      <c r="AC19">
        <f>HYPERLINK("https://klasma.github.io/Logging_0127/tillsyn/A 30378-2024 tillsynsbegäran.docx", "A 30378-2024")</f>
        <v/>
      </c>
      <c r="AD19">
        <f>HYPERLINK("https://klasma.github.io/Logging_0127/tillsynsmail/A 30378-2024 tillsynsbegäran mail.docx", "A 30378-2024")</f>
        <v/>
      </c>
    </row>
    <row r="20" ht="15" customHeight="1">
      <c r="A20" t="inlineStr">
        <is>
          <t>A 15905-2022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44664</v>
      </c>
      <c r="E20" s="1" t="n">
        <v>46249</v>
      </c>
      <c r="F20" t="inlineStr">
        <is>
          <t>STOCKHOLMS LÄN</t>
        </is>
      </c>
      <c r="G20" t="inlineStr">
        <is>
          <t>BOTKYRKA</t>
        </is>
      </c>
      <c r="I20" t="n">
        <v>11.2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Motaggsvamp
Svartvit taggsvamp</t>
        </is>
      </c>
      <c r="W20">
        <f>HYPERLINK("https://klasma.github.io/Logging_0127/artfynd/A 15905-2022 artfynd.xlsx", "A 15905-2022")</f>
        <v/>
      </c>
      <c r="X20">
        <f>HYPERLINK("https://klasma.github.io/Logging_0127/kartor/A 15905-2022 karta.png", "A 15905-2022")</f>
        <v/>
      </c>
      <c r="Y20">
        <f>HYPERLINK("https://klasma.github.io/Logging_0127/kartor_geotiff/A 15905-2022 georefererad karta.tif", "A 15905-2022")</f>
        <v/>
      </c>
      <c r="AA20">
        <f>HYPERLINK("https://klasma.github.io/Logging_0127/klagomål/A 15905-2022 FSC-klagomål.docx", "A 15905-2022")</f>
        <v/>
      </c>
      <c r="AB20">
        <f>HYPERLINK("https://klasma.github.io/Logging_0127/klagomålsmail/A 15905-2022 FSC-klagomål mail.docx", "A 15905-2022")</f>
        <v/>
      </c>
      <c r="AC20">
        <f>HYPERLINK("https://klasma.github.io/Logging_0127/tillsyn/A 15905-2022 tillsynsbegäran.docx", "A 15905-2022")</f>
        <v/>
      </c>
      <c r="AD20">
        <f>HYPERLINK("https://klasma.github.io/Logging_0127/tillsynsmail/A 15905-2022 tillsynsbegäran mail.docx", "A 15905-2022")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46249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46249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46249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46249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46249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46249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46249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46249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46249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61514-2022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46249</v>
      </c>
      <c r="F30" t="inlineStr">
        <is>
          <t>STOCKHOLMS LÄN</t>
        </is>
      </c>
      <c r="G30" t="inlineStr">
        <is>
          <t>BOTKYRKA</t>
        </is>
      </c>
      <c r="I30" t="n">
        <v>1.3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Vanlig groda</t>
        </is>
      </c>
      <c r="W30">
        <f>HYPERLINK("https://klasma.github.io/Logging_0127/artfynd/A 61514-2022 artfynd.xlsx", "A 61514-2022")</f>
        <v/>
      </c>
      <c r="X30">
        <f>HYPERLINK("https://klasma.github.io/Logging_0127/kartor/A 61514-2022 karta.png", "A 61514-2022")</f>
        <v/>
      </c>
      <c r="Y30">
        <f>HYPERLINK("https://klasma.github.io/Logging_0127/kartor_geotiff/A 61514-2022 georefererad karta.tif", "A 61514-2022")</f>
        <v/>
      </c>
      <c r="AA30">
        <f>HYPERLINK("https://klasma.github.io/Logging_0127/klagomål/A 61514-2022 FSC-klagomål.docx", "A 61514-2022")</f>
        <v/>
      </c>
      <c r="AB30">
        <f>HYPERLINK("https://klasma.github.io/Logging_0127/klagomålsmail/A 61514-2022 FSC-klagomål mail.docx", "A 61514-2022")</f>
        <v/>
      </c>
      <c r="AC30">
        <f>HYPERLINK("https://klasma.github.io/Logging_0127/tillsyn/A 61514-2022 tillsynsbegäran.docx", "A 61514-2022")</f>
        <v/>
      </c>
      <c r="AD30">
        <f>HYPERLINK("https://klasma.github.io/Logging_0127/tillsynsmail/A 61514-2022 tillsynsbegäran mail.docx", "A 61514-2022")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46249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46249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46249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46249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46249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46249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46249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46249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46249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46249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46249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46249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46249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46249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48656-2022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46249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46249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46249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46249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44599</v>
      </c>
      <c r="E49" s="1" t="n">
        <v>46249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46249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46249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46249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46249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46249</v>
      </c>
      <c r="F54" t="inlineStr">
        <is>
          <t>STOCKHOLMS LÄN</t>
        </is>
      </c>
      <c r="G54" t="inlineStr">
        <is>
          <t>BOTKYRKA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46249</v>
      </c>
      <c r="F55" t="inlineStr">
        <is>
          <t>STOCKHOLMS LÄN</t>
        </is>
      </c>
      <c r="G55" t="inlineStr">
        <is>
          <t>BOTKYRKA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25217-2024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45462</v>
      </c>
      <c r="E56" s="1" t="n">
        <v>46249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46249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46249</v>
      </c>
      <c r="F58" t="inlineStr">
        <is>
          <t>STOCKHOLMS LÄN</t>
        </is>
      </c>
      <c r="G58" t="inlineStr">
        <is>
          <t>BOTKYRKA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46249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30622-2024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45495</v>
      </c>
      <c r="E60" s="1" t="n">
        <v>46249</v>
      </c>
      <c r="F60" t="inlineStr">
        <is>
          <t>STOCKHOLMS LÄN</t>
        </is>
      </c>
      <c r="G60" t="inlineStr">
        <is>
          <t>BOTKYRKA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46249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46249</v>
      </c>
      <c r="F62" t="inlineStr">
        <is>
          <t>STOCKHOLMS LÄN</t>
        </is>
      </c>
      <c r="G62" t="inlineStr">
        <is>
          <t>BOTKYRKA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14217-2025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46249</v>
      </c>
      <c r="F63" t="inlineStr">
        <is>
          <t>STOCKHOLMS LÄN</t>
        </is>
      </c>
      <c r="G63" t="inlineStr">
        <is>
          <t>BOTKYRKA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46249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46249</v>
      </c>
      <c r="F65" t="inlineStr">
        <is>
          <t>STOCKHOLMS LÄN</t>
        </is>
      </c>
      <c r="G65" t="inlineStr">
        <is>
          <t>BOTKYRKA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46249</v>
      </c>
      <c r="F66" t="inlineStr">
        <is>
          <t>STOCKHOLMS LÄN</t>
        </is>
      </c>
      <c r="G66" t="inlineStr">
        <is>
          <t>BOTKYRKA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46249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46249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46249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46249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46249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46249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46190</v>
      </c>
      <c r="E73" s="1" t="n">
        <v>46249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46249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2026-08-15T08:29:21Z</dcterms:created>
  <dcterms:modified xmlns:dcterms="http://purl.org/dc/terms/" xmlns:xsi="http://www.w3.org/2001/XMLSchema-instance" xsi:type="dcterms:W3CDTF">2026-08-15T08:29:21Z</dcterms:modified>
</cp:coreProperties>
</file>