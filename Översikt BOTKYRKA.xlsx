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46166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46166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22390-2026</t>
        </is>
      </c>
      <c r="B4" s="1" t="n">
        <v>46154.64108796296</v>
      </c>
      <c r="C4" s="1" t="n">
        <v>46166</v>
      </c>
      <c r="D4" t="inlineStr">
        <is>
          <t>STOCKHOLMS LÄN</t>
        </is>
      </c>
      <c r="E4" t="inlineStr">
        <is>
          <t>BOTKYRKA</t>
        </is>
      </c>
      <c r="G4" t="n">
        <v>6.9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Duvhök
Fjällvråk
Rödvingetrast
Spillkråka
Svartvit flugsnappare
Järnsparv
Kungsfågel
Sparvuggla</t>
        </is>
      </c>
      <c r="S4">
        <f>HYPERLINK("https://klasma.github.io/Logging_0127/artfynd/A 22390-2026 artfynd.xlsx", "A 22390-2026")</f>
        <v/>
      </c>
      <c r="T4">
        <f>HYPERLINK("https://klasma.github.io/Logging_0127/kartor/A 22390-2026 karta.png", "A 22390-2026")</f>
        <v/>
      </c>
      <c r="V4">
        <f>HYPERLINK("https://klasma.github.io/Logging_0127/klagomål/A 22390-2026 FSC-klagomål.docx", "A 22390-2026")</f>
        <v/>
      </c>
      <c r="W4">
        <f>HYPERLINK("https://klasma.github.io/Logging_0127/klagomålsmail/A 22390-2026 FSC-klagomål mail.docx", "A 22390-2026")</f>
        <v/>
      </c>
      <c r="X4">
        <f>HYPERLINK("https://klasma.github.io/Logging_0127/tillsyn/A 22390-2026 tillsynsbegäran.docx", "A 22390-2026")</f>
        <v/>
      </c>
      <c r="Y4">
        <f>HYPERLINK("https://klasma.github.io/Logging_0127/tillsynsmail/A 22390-2026 tillsynsbegäran mail.docx", "A 22390-2026")</f>
        <v/>
      </c>
      <c r="Z4">
        <f>HYPERLINK("https://klasma.github.io/Logging_0127/fåglar/A 22390-2026 prioriterade fågelarter.docx", "A 22390-2026")</f>
        <v/>
      </c>
    </row>
    <row r="5" ht="15" customHeight="1">
      <c r="A5" t="inlineStr">
        <is>
          <t>A 48514-2025</t>
        </is>
      </c>
      <c r="B5" s="1" t="n">
        <v>45936</v>
      </c>
      <c r="C5" s="1" t="n">
        <v>46166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17.1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Lammticka
Motaggsvamp
Svartvit taggsvamp
Tallticka
Talltita
Mindre märgborre
Skarp dropptaggsvamp</t>
        </is>
      </c>
      <c r="S5">
        <f>HYPERLINK("https://klasma.github.io/Logging_0127/artfynd/A 48514-2025 artfynd.xlsx", "A 48514-2025")</f>
        <v/>
      </c>
      <c r="T5">
        <f>HYPERLINK("https://klasma.github.io/Logging_0127/kartor/A 48514-2025 karta.png", "A 48514-2025")</f>
        <v/>
      </c>
      <c r="V5">
        <f>HYPERLINK("https://klasma.github.io/Logging_0127/klagomål/A 48514-2025 FSC-klagomål.docx", "A 48514-2025")</f>
        <v/>
      </c>
      <c r="W5">
        <f>HYPERLINK("https://klasma.github.io/Logging_0127/klagomålsmail/A 48514-2025 FSC-klagomål mail.docx", "A 48514-2025")</f>
        <v/>
      </c>
      <c r="X5">
        <f>HYPERLINK("https://klasma.github.io/Logging_0127/tillsyn/A 48514-2025 tillsynsbegäran.docx", "A 48514-2025")</f>
        <v/>
      </c>
      <c r="Y5">
        <f>HYPERLINK("https://klasma.github.io/Logging_0127/tillsynsmail/A 48514-2025 tillsynsbegäran mail.docx", "A 48514-2025")</f>
        <v/>
      </c>
      <c r="Z5">
        <f>HYPERLINK("https://klasma.github.io/Logging_0127/fåglar/A 48514-2025 prioriterade fågelarter.docx", "A 48514-2025")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46166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24599-2022</t>
        </is>
      </c>
      <c r="B7" s="1" t="n">
        <v>44727</v>
      </c>
      <c r="C7" s="1" t="n">
        <v>46166</v>
      </c>
      <c r="D7" t="inlineStr">
        <is>
          <t>STOCKHOLMS LÄN</t>
        </is>
      </c>
      <c r="E7" t="inlineStr">
        <is>
          <t>BOTKYRKA</t>
        </is>
      </c>
      <c r="G7" t="n">
        <v>1.5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Almsnabbvinge
Svartpälsbi
Igelkottsröksvamp
Sotriska
Vanlig groda
Mattlummer</t>
        </is>
      </c>
      <c r="S7">
        <f>HYPERLINK("https://klasma.github.io/Logging_0127/artfynd/A 24599-2022 artfynd.xlsx", "A 24599-2022")</f>
        <v/>
      </c>
      <c r="T7">
        <f>HYPERLINK("https://klasma.github.io/Logging_0127/kartor/A 24599-2022 karta.png", "A 24599-2022")</f>
        <v/>
      </c>
      <c r="V7">
        <f>HYPERLINK("https://klasma.github.io/Logging_0127/klagomål/A 24599-2022 FSC-klagomål.docx", "A 24599-2022")</f>
        <v/>
      </c>
      <c r="W7">
        <f>HYPERLINK("https://klasma.github.io/Logging_0127/klagomålsmail/A 24599-2022 FSC-klagomål mail.docx", "A 24599-2022")</f>
        <v/>
      </c>
      <c r="X7">
        <f>HYPERLINK("https://klasma.github.io/Logging_0127/tillsyn/A 24599-2022 tillsynsbegäran.docx", "A 24599-2022")</f>
        <v/>
      </c>
      <c r="Y7">
        <f>HYPERLINK("https://klasma.github.io/Logging_0127/tillsynsmail/A 24599-2022 tillsynsbegäran mail.docx", "A 24599-2022")</f>
        <v/>
      </c>
    </row>
    <row r="8" ht="15" customHeight="1">
      <c r="A8" t="inlineStr">
        <is>
          <t>A 45595-2025</t>
        </is>
      </c>
      <c r="B8" s="1" t="n">
        <v>45922</v>
      </c>
      <c r="C8" s="1" t="n">
        <v>46166</v>
      </c>
      <c r="D8" t="inlineStr">
        <is>
          <t>STOCKHOLMS LÄN</t>
        </is>
      </c>
      <c r="E8" t="inlineStr">
        <is>
          <t>BOTKYRKA</t>
        </is>
      </c>
      <c r="G8" t="n">
        <v>2.2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Gulsparv
Tibast
Grönsiska
Kungsfågel</t>
        </is>
      </c>
      <c r="S8">
        <f>HYPERLINK("https://klasma.github.io/Logging_0127/artfynd/A 45595-2025 artfynd.xlsx", "A 45595-2025")</f>
        <v/>
      </c>
      <c r="T8">
        <f>HYPERLINK("https://klasma.github.io/Logging_0127/kartor/A 45595-2025 karta.png", "A 45595-2025")</f>
        <v/>
      </c>
      <c r="V8">
        <f>HYPERLINK("https://klasma.github.io/Logging_0127/klagomål/A 45595-2025 FSC-klagomål.docx", "A 45595-2025")</f>
        <v/>
      </c>
      <c r="W8">
        <f>HYPERLINK("https://klasma.github.io/Logging_0127/klagomålsmail/A 45595-2025 FSC-klagomål mail.docx", "A 45595-2025")</f>
        <v/>
      </c>
      <c r="X8">
        <f>HYPERLINK("https://klasma.github.io/Logging_0127/tillsyn/A 45595-2025 tillsynsbegäran.docx", "A 45595-2025")</f>
        <v/>
      </c>
      <c r="Y8">
        <f>HYPERLINK("https://klasma.github.io/Logging_0127/tillsynsmail/A 45595-2025 tillsynsbegäran mail.docx", "A 45595-2025")</f>
        <v/>
      </c>
      <c r="Z8">
        <f>HYPERLINK("https://klasma.github.io/Logging_0127/fåglar/A 45595-2025 prioriterade fågelarter.docx", "A 45595-2025")</f>
        <v/>
      </c>
    </row>
    <row r="9" ht="15" customHeight="1">
      <c r="A9" t="inlineStr">
        <is>
          <t>A 12818-2026</t>
        </is>
      </c>
      <c r="B9" s="1" t="n">
        <v>46092.40828703704</v>
      </c>
      <c r="C9" s="1" t="n">
        <v>46166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Blåmossa
Grovticka</t>
        </is>
      </c>
      <c r="S9">
        <f>HYPERLINK("https://klasma.github.io/Logging_0127/artfynd/A 12818-2026 artfynd.xlsx", "A 12818-2026")</f>
        <v/>
      </c>
      <c r="T9">
        <f>HYPERLINK("https://klasma.github.io/Logging_0127/kartor/A 12818-2026 karta.png", "A 12818-2026")</f>
        <v/>
      </c>
      <c r="V9">
        <f>HYPERLINK("https://klasma.github.io/Logging_0127/klagomål/A 12818-2026 FSC-klagomål.docx", "A 12818-2026")</f>
        <v/>
      </c>
      <c r="W9">
        <f>HYPERLINK("https://klasma.github.io/Logging_0127/klagomålsmail/A 12818-2026 FSC-klagomål mail.docx", "A 12818-2026")</f>
        <v/>
      </c>
      <c r="X9">
        <f>HYPERLINK("https://klasma.github.io/Logging_0127/tillsyn/A 12818-2026 tillsynsbegäran.docx", "A 12818-2026")</f>
        <v/>
      </c>
      <c r="Y9">
        <f>HYPERLINK("https://klasma.github.io/Logging_0127/tillsynsmail/A 12818-2026 tillsynsbegäran mail.docx", "A 12818-2026")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46166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Motaggsvamp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14220-2025</t>
        </is>
      </c>
      <c r="B11" s="1" t="n">
        <v>45740</v>
      </c>
      <c r="C11" s="1" t="n">
        <v>46166</v>
      </c>
      <c r="D11" t="inlineStr">
        <is>
          <t>STOCKHOLMS LÄN</t>
        </is>
      </c>
      <c r="E11" t="inlineStr">
        <is>
          <t>BOTKYRKA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Tibast</t>
        </is>
      </c>
      <c r="S11">
        <f>HYPERLINK("https://klasma.github.io/Logging_0127/artfynd/A 14220-2025 artfynd.xlsx", "A 14220-2025")</f>
        <v/>
      </c>
      <c r="T11">
        <f>HYPERLINK("https://klasma.github.io/Logging_0127/kartor/A 14220-2025 karta.png", "A 14220-2025")</f>
        <v/>
      </c>
      <c r="U11">
        <f>HYPERLINK("https://klasma.github.io/Logging_0127/knärot/A 14220-2025 karta knärot.png", "A 14220-2025")</f>
        <v/>
      </c>
      <c r="V11">
        <f>HYPERLINK("https://klasma.github.io/Logging_0127/klagomål/A 14220-2025 FSC-klagomål.docx", "A 14220-2025")</f>
        <v/>
      </c>
      <c r="W11">
        <f>HYPERLINK("https://klasma.github.io/Logging_0127/klagomålsmail/A 14220-2025 FSC-klagomål mail.docx", "A 14220-2025")</f>
        <v/>
      </c>
      <c r="X11">
        <f>HYPERLINK("https://klasma.github.io/Logging_0127/tillsyn/A 14220-2025 tillsynsbegäran.docx", "A 14220-2025")</f>
        <v/>
      </c>
      <c r="Y11">
        <f>HYPERLINK("https://klasma.github.io/Logging_0127/tillsynsmail/A 14220-2025 tillsynsbegäran mail.docx", "A 14220-2025")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46166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Åkergroda
Mindre vattensalamander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46166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46166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30055-2025</t>
        </is>
      </c>
      <c r="B15" s="1" t="n">
        <v>45826</v>
      </c>
      <c r="C15" s="1" t="n">
        <v>46166</v>
      </c>
      <c r="D15" t="inlineStr">
        <is>
          <t>STOCKHOLMS LÄN</t>
        </is>
      </c>
      <c r="E15" t="inlineStr">
        <is>
          <t>BOTKYRKA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Klasefibbla
Blåsippa</t>
        </is>
      </c>
      <c r="S15">
        <f>HYPERLINK("https://klasma.github.io/Logging_0127/artfynd/A 30055-2025 artfynd.xlsx", "A 30055-2025")</f>
        <v/>
      </c>
      <c r="T15">
        <f>HYPERLINK("https://klasma.github.io/Logging_0127/kartor/A 30055-2025 karta.png", "A 30055-2025")</f>
        <v/>
      </c>
      <c r="V15">
        <f>HYPERLINK("https://klasma.github.io/Logging_0127/klagomål/A 30055-2025 FSC-klagomål.docx", "A 30055-2025")</f>
        <v/>
      </c>
      <c r="W15">
        <f>HYPERLINK("https://klasma.github.io/Logging_0127/klagomålsmail/A 30055-2025 FSC-klagomål mail.docx", "A 30055-2025")</f>
        <v/>
      </c>
      <c r="X15">
        <f>HYPERLINK("https://klasma.github.io/Logging_0127/tillsyn/A 30055-2025 tillsynsbegäran.docx", "A 30055-2025")</f>
        <v/>
      </c>
      <c r="Y15">
        <f>HYPERLINK("https://klasma.github.io/Logging_0127/tillsynsmail/A 30055-2025 tillsynsbegäran mail.docx", "A 30055-2025")</f>
        <v/>
      </c>
    </row>
    <row r="16" ht="15" customHeight="1">
      <c r="A16" t="inlineStr">
        <is>
          <t>A 56816-2021</t>
        </is>
      </c>
      <c r="B16" s="1" t="n">
        <v>44481</v>
      </c>
      <c r="C16" s="1" t="n">
        <v>46166</v>
      </c>
      <c r="D16" t="inlineStr">
        <is>
          <t>STOCKHOLMS LÄN</t>
        </is>
      </c>
      <c r="E16" t="inlineStr">
        <is>
          <t>BOTKYRKA</t>
        </is>
      </c>
      <c r="G16" t="n">
        <v>10.9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HYPERLINK("https://klasma.github.io/Logging_0127/artfynd/A 56816-2021 artfynd.xlsx", "A 56816-2021")</f>
        <v/>
      </c>
      <c r="T16">
        <f>HYPERLINK("https://klasma.github.io/Logging_0127/kartor/A 56816-2021 karta.png", "A 56816-2021")</f>
        <v/>
      </c>
      <c r="V16">
        <f>HYPERLINK("https://klasma.github.io/Logging_0127/klagomål/A 56816-2021 FSC-klagomål.docx", "A 56816-2021")</f>
        <v/>
      </c>
      <c r="W16">
        <f>HYPERLINK("https://klasma.github.io/Logging_0127/klagomålsmail/A 56816-2021 FSC-klagomål mail.docx", "A 56816-2021")</f>
        <v/>
      </c>
      <c r="X16">
        <f>HYPERLINK("https://klasma.github.io/Logging_0127/tillsyn/A 56816-2021 tillsynsbegäran.docx", "A 56816-2021")</f>
        <v/>
      </c>
      <c r="Y16">
        <f>HYPERLINK("https://klasma.github.io/Logging_0127/tillsynsmail/A 56816-2021 tillsynsbegäran mail.docx", "A 56816-2021")</f>
        <v/>
      </c>
      <c r="Z16">
        <f>HYPERLINK("https://klasma.github.io/Logging_0127/fåglar/A 56816-2021 prioriterade fågelarter.docx", "A 56816-2021")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46166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46166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46166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46166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46166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46166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46166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46166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33801-2025</t>
        </is>
      </c>
      <c r="B25" s="1" t="n">
        <v>45842</v>
      </c>
      <c r="C25" s="1" t="n">
        <v>46166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HYPERLINK("https://klasma.github.io/Logging_0127/artfynd/A 33801-2025 artfynd.xlsx", "A 33801-2025")</f>
        <v/>
      </c>
      <c r="T25">
        <f>HYPERLINK("https://klasma.github.io/Logging_0127/kartor/A 33801-2025 karta.png", "A 33801-2025")</f>
        <v/>
      </c>
      <c r="V25">
        <f>HYPERLINK("https://klasma.github.io/Logging_0127/klagomål/A 33801-2025 FSC-klagomål.docx", "A 33801-2025")</f>
        <v/>
      </c>
      <c r="W25">
        <f>HYPERLINK("https://klasma.github.io/Logging_0127/klagomålsmail/A 33801-2025 FSC-klagomål mail.docx", "A 33801-2025")</f>
        <v/>
      </c>
      <c r="X25">
        <f>HYPERLINK("https://klasma.github.io/Logging_0127/tillsyn/A 33801-2025 tillsynsbegäran.docx", "A 33801-2025")</f>
        <v/>
      </c>
      <c r="Y25">
        <f>HYPERLINK("https://klasma.github.io/Logging_0127/tillsynsmail/A 33801-2025 tillsynsbegäran mail.docx", "A 33801-2025")</f>
        <v/>
      </c>
    </row>
    <row r="26" ht="15" customHeight="1">
      <c r="A26" t="inlineStr">
        <is>
          <t>A 27791-2021</t>
        </is>
      </c>
      <c r="B26" s="1" t="n">
        <v>44354</v>
      </c>
      <c r="C26" s="1" t="n">
        <v>46166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46166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48667-2022</t>
        </is>
      </c>
      <c r="B28" s="1" t="n">
        <v>44859</v>
      </c>
      <c r="C28" s="1" t="n">
        <v>46166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32828-2022</t>
        </is>
      </c>
      <c r="B29" s="1" t="n">
        <v>44784</v>
      </c>
      <c r="C29" s="1" t="n">
        <v>46166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43717-2021</t>
        </is>
      </c>
      <c r="B30" s="1" t="n">
        <v>44433.62546296296</v>
      </c>
      <c r="C30" s="1" t="n">
        <v>46166</v>
      </c>
      <c r="D30" t="inlineStr">
        <is>
          <t>STOCKHOLMS LÄN</t>
        </is>
      </c>
      <c r="E30" t="inlineStr">
        <is>
          <t>BOTKYRKA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33015-2021</t>
        </is>
      </c>
      <c r="B31" s="1" t="n">
        <v>44376</v>
      </c>
      <c r="C31" s="1" t="n">
        <v>46166</v>
      </c>
      <c r="D31" t="inlineStr">
        <is>
          <t>STOCKHOLMS LÄN</t>
        </is>
      </c>
      <c r="E31" t="inlineStr">
        <is>
          <t>BOTKYRKA</t>
        </is>
      </c>
      <c r="G31" t="n">
        <v>48.7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33016-2021</t>
        </is>
      </c>
      <c r="B32" s="1" t="n">
        <v>44376</v>
      </c>
      <c r="C32" s="1" t="n">
        <v>46166</v>
      </c>
      <c r="D32" t="inlineStr">
        <is>
          <t>STOCKHOLMS LÄN</t>
        </is>
      </c>
      <c r="E32" t="inlineStr">
        <is>
          <t>BOTKYRKA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46166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46166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46166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46166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46166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61242-2022</t>
        </is>
      </c>
      <c r="B38" s="1" t="n">
        <v>44915</v>
      </c>
      <c r="C38" s="1" t="n">
        <v>46166</v>
      </c>
      <c r="D38" t="inlineStr">
        <is>
          <t>STOCKHOLMS LÄN</t>
        </is>
      </c>
      <c r="E38" t="inlineStr">
        <is>
          <t>BOTKYRKA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46166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46166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46166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46166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46166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46166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46166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46166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46166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22391-2026</t>
        </is>
      </c>
      <c r="B48" s="1" t="n">
        <v>46154.64201388889</v>
      </c>
      <c r="C48" s="1" t="n">
        <v>46166</v>
      </c>
      <c r="D48" t="inlineStr">
        <is>
          <t>STOCKHOLMS LÄN</t>
        </is>
      </c>
      <c r="E48" t="inlineStr">
        <is>
          <t>BOTKYRKA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23718-2026</t>
        </is>
      </c>
      <c r="B49" s="1" t="n">
        <v>46164.46760416667</v>
      </c>
      <c r="C49" s="1" t="n">
        <v>46166</v>
      </c>
      <c r="D49" t="inlineStr">
        <is>
          <t>STOCKHOLMS LÄN</t>
        </is>
      </c>
      <c r="E49" t="inlineStr">
        <is>
          <t>BOTKYRKA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23725-2026</t>
        </is>
      </c>
      <c r="B50" s="1" t="n">
        <v>46164.46996527778</v>
      </c>
      <c r="C50" s="1" t="n">
        <v>46166</v>
      </c>
      <c r="D50" t="inlineStr">
        <is>
          <t>STOCKHOLMS LÄN</t>
        </is>
      </c>
      <c r="E50" t="inlineStr">
        <is>
          <t>BOTKYRKA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23716-2026</t>
        </is>
      </c>
      <c r="B51" s="1" t="n">
        <v>46164.46613425926</v>
      </c>
      <c r="C51" s="1" t="n">
        <v>46166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45945-2025</t>
        </is>
      </c>
      <c r="B52" s="1" t="n">
        <v>45924</v>
      </c>
      <c r="C52" s="1" t="n">
        <v>46166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46166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46166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46166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46166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46166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45869-2022</t>
        </is>
      </c>
      <c r="B58" s="1" t="n">
        <v>44844</v>
      </c>
      <c r="C58" s="1" t="n">
        <v>46166</v>
      </c>
      <c r="D58" t="inlineStr">
        <is>
          <t>STOCKHOLMS LÄN</t>
        </is>
      </c>
      <c r="E58" t="inlineStr">
        <is>
          <t>BOTKYRKA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46166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15692-2023</t>
        </is>
      </c>
      <c r="B60" s="1" t="n">
        <v>45020</v>
      </c>
      <c r="C60" s="1" t="n">
        <v>46166</v>
      </c>
      <c r="D60" t="inlineStr">
        <is>
          <t>STOCKHOLMS LÄN</t>
        </is>
      </c>
      <c r="E60" t="inlineStr">
        <is>
          <t>BOTKYRKA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44550.5162037037</v>
      </c>
      <c r="C61" s="1" t="n">
        <v>46166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54468-2025</t>
        </is>
      </c>
      <c r="B62" s="1" t="n">
        <v>45965</v>
      </c>
      <c r="C62" s="1" t="n">
        <v>46166</v>
      </c>
      <c r="D62" t="inlineStr">
        <is>
          <t>STOCKHOLMS LÄN</t>
        </is>
      </c>
      <c r="E62" t="inlineStr">
        <is>
          <t>BOTKYRKA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9032-2023</t>
        </is>
      </c>
      <c r="B63" s="1" t="n">
        <v>44979</v>
      </c>
      <c r="C63" s="1" t="n">
        <v>46166</v>
      </c>
      <c r="D63" t="inlineStr">
        <is>
          <t>STOCKHOLMS LÄN</t>
        </is>
      </c>
      <c r="E63" t="inlineStr">
        <is>
          <t>BOTKYRKA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46166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46166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46166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46166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46166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46166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46166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46166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12306-2026</t>
        </is>
      </c>
      <c r="B72" s="1" t="n">
        <v>46087.57949074074</v>
      </c>
      <c r="C72" s="1" t="n">
        <v>46166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12294-2026</t>
        </is>
      </c>
      <c r="B73" s="1" t="n">
        <v>46087.55737268519</v>
      </c>
      <c r="C73" s="1" t="n">
        <v>46166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35197-2024</t>
        </is>
      </c>
      <c r="B74" s="1" t="n">
        <v>45530</v>
      </c>
      <c r="C74" s="1" t="n">
        <v>46166</v>
      </c>
      <c r="D74" t="inlineStr">
        <is>
          <t>STOCKHOLMS LÄN</t>
        </is>
      </c>
      <c r="E74" t="inlineStr">
        <is>
          <t>BOTKYRKA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30622-2024</t>
        </is>
      </c>
      <c r="B75" s="1" t="n">
        <v>45495</v>
      </c>
      <c r="C75" s="1" t="n">
        <v>46166</v>
      </c>
      <c r="D75" t="inlineStr">
        <is>
          <t>STOCKHOLMS LÄN</t>
        </is>
      </c>
      <c r="E75" t="inlineStr">
        <is>
          <t>BOTKYRKA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36097-2021</t>
        </is>
      </c>
      <c r="B76" s="1" t="n">
        <v>44389</v>
      </c>
      <c r="C76" s="1" t="n">
        <v>46166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16145-2024</t>
        </is>
      </c>
      <c r="B77" s="1" t="n">
        <v>45406.56561342593</v>
      </c>
      <c r="C77" s="1" t="n">
        <v>46166</v>
      </c>
      <c r="D77" t="inlineStr">
        <is>
          <t>STOCKHOLMS LÄN</t>
        </is>
      </c>
      <c r="E77" t="inlineStr">
        <is>
          <t>BOTKYRKA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61514-2022</t>
        </is>
      </c>
      <c r="B78" s="1" t="n">
        <v>44916</v>
      </c>
      <c r="C78" s="1" t="n">
        <v>46166</v>
      </c>
      <c r="D78" t="inlineStr">
        <is>
          <t>STOCKHOLMS LÄN</t>
        </is>
      </c>
      <c r="E78" t="inlineStr">
        <is>
          <t>BOTKYRKA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3021-2025</t>
        </is>
      </c>
      <c r="B79" s="1" t="n">
        <v>45678.57962962963</v>
      </c>
      <c r="C79" s="1" t="n">
        <v>46166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6059-2022</t>
        </is>
      </c>
      <c r="B80" s="1" t="n">
        <v>44599</v>
      </c>
      <c r="C80" s="1" t="n">
        <v>46166</v>
      </c>
      <c r="D80" t="inlineStr">
        <is>
          <t>STOCKHOLMS LÄN</t>
        </is>
      </c>
      <c r="E80" t="inlineStr">
        <is>
          <t>BOTKYRKA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37095-2021</t>
        </is>
      </c>
      <c r="B81" s="1" t="n">
        <v>44395</v>
      </c>
      <c r="C81" s="1" t="n">
        <v>46166</v>
      </c>
      <c r="D81" t="inlineStr">
        <is>
          <t>STOCKHOLMS LÄN</t>
        </is>
      </c>
      <c r="E81" t="inlineStr">
        <is>
          <t>BOTKYRKA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16142-2024</t>
        </is>
      </c>
      <c r="B82" s="1" t="n">
        <v>45406</v>
      </c>
      <c r="C82" s="1" t="n">
        <v>46166</v>
      </c>
      <c r="D82" t="inlineStr">
        <is>
          <t>STOCKHOLMS LÄN</t>
        </is>
      </c>
      <c r="E82" t="inlineStr">
        <is>
          <t>BOTKYRKA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11876-2024</t>
        </is>
      </c>
      <c r="B83" s="1" t="n">
        <v>45376.47072916666</v>
      </c>
      <c r="C83" s="1" t="n">
        <v>46166</v>
      </c>
      <c r="D83" t="inlineStr">
        <is>
          <t>STOCKHOLMS LÄN</t>
        </is>
      </c>
      <c r="E83" t="inlineStr">
        <is>
          <t>BOTKYRKA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2026-05-24T10:54:54Z</dcterms:created>
  <dcterms:modified xmlns:dcterms="http://purl.org/dc/terms/" xmlns:xsi="http://www.w3.org/2001/XMLSchema-instance" xsi:type="dcterms:W3CDTF">2026-05-24T10:54:54Z</dcterms:modified>
</cp:coreProperties>
</file>